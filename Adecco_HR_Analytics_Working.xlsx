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D:\Jobaaj_Learnings\MOD2_Excel 2.0\Excel_Projects\Ex_Assignment03\"/>
    </mc:Choice>
  </mc:AlternateContent>
  <xr:revisionPtr revIDLastSave="0" documentId="13_ncr:1_{43EC4759-F02D-4A19-9641-57A297BEBF11}" xr6:coauthVersionLast="47" xr6:coauthVersionMax="47" xr10:uidLastSave="{00000000-0000-0000-0000-000000000000}"/>
  <bookViews>
    <workbookView xWindow="-108" yWindow="-108" windowWidth="23256" windowHeight="12456" tabRatio="864" xr2:uid="{00000000-000D-0000-FFFF-FFFF00000000}"/>
  </bookViews>
  <sheets>
    <sheet name="Dashboard" sheetId="10" r:id="rId1"/>
    <sheet name="Raw_Data" sheetId="1" r:id="rId2"/>
    <sheet name="Read_Me" sheetId="2" r:id="rId3"/>
    <sheet name="Data_QA" sheetId="3" r:id="rId4"/>
    <sheet name="PVT_Attrition" sheetId="4" r:id="rId5"/>
    <sheet name="PVT_Workforce" sheetId="5" r:id="rId6"/>
    <sheet name="PVT_Engagement" sheetId="6" r:id="rId7"/>
    <sheet name="PVT_Performance" sheetId="8" r:id="rId8"/>
    <sheet name="Association_Analysis" sheetId="9" r:id="rId9"/>
    <sheet name="PVT_KPI" sheetId="11" r:id="rId10"/>
  </sheets>
  <definedNames>
    <definedName name="Slicer_Department">#N/A</definedName>
    <definedName name="Slicer_Gender">#N/A</definedName>
    <definedName name="Slicer_JobLevel">#N/A</definedName>
    <definedName name="Slicer_OverTim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 i="11" l="1"/>
  <c r="F5" i="11"/>
  <c r="F3" i="11"/>
  <c r="F2" i="11"/>
  <c r="E13" i="9"/>
  <c r="E12" i="9"/>
  <c r="E11" i="9"/>
  <c r="E10" i="9"/>
  <c r="E9" i="9"/>
  <c r="E8" i="9"/>
  <c r="E7" i="9"/>
  <c r="E6" i="9"/>
  <c r="E5" i="9"/>
  <c r="E4" i="9"/>
  <c r="E3" i="9"/>
  <c r="E2" i="9"/>
  <c r="C2" i="9"/>
  <c r="A3" i="9"/>
  <c r="B3" i="9"/>
  <c r="A4" i="9"/>
  <c r="B4" i="9"/>
  <c r="A5" i="9"/>
  <c r="B5" i="9"/>
  <c r="A6" i="9"/>
  <c r="B6" i="9"/>
  <c r="A7" i="9"/>
  <c r="B7" i="9"/>
  <c r="A8" i="9"/>
  <c r="B8" i="9"/>
  <c r="A9" i="9"/>
  <c r="B9" i="9"/>
  <c r="A10" i="9"/>
  <c r="B10" i="9"/>
  <c r="A11" i="9"/>
  <c r="B11" i="9"/>
  <c r="A12" i="9"/>
  <c r="B12" i="9"/>
  <c r="A13" i="9"/>
  <c r="B13" i="9"/>
  <c r="A14" i="9"/>
  <c r="B14" i="9"/>
  <c r="A15" i="9"/>
  <c r="B15" i="9"/>
  <c r="A16" i="9"/>
  <c r="B16" i="9"/>
  <c r="A17" i="9"/>
  <c r="B17" i="9"/>
  <c r="A18" i="9"/>
  <c r="B18" i="9"/>
  <c r="A19" i="9"/>
  <c r="B19" i="9"/>
  <c r="A20" i="9"/>
  <c r="B20" i="9"/>
  <c r="A21" i="9"/>
  <c r="B21" i="9"/>
  <c r="A22" i="9"/>
  <c r="B22" i="9"/>
  <c r="A23" i="9"/>
  <c r="B23" i="9"/>
  <c r="A24" i="9"/>
  <c r="B24" i="9"/>
  <c r="A25" i="9"/>
  <c r="B25" i="9"/>
  <c r="A26" i="9"/>
  <c r="B26" i="9"/>
  <c r="A27" i="9"/>
  <c r="B27" i="9"/>
  <c r="A28" i="9"/>
  <c r="B28" i="9"/>
  <c r="A29" i="9"/>
  <c r="B29" i="9"/>
  <c r="A30" i="9"/>
  <c r="B30" i="9"/>
  <c r="A31" i="9"/>
  <c r="B31" i="9"/>
  <c r="A32" i="9"/>
  <c r="B32" i="9"/>
  <c r="A33" i="9"/>
  <c r="B33" i="9"/>
  <c r="A34" i="9"/>
  <c r="B34" i="9"/>
  <c r="A35" i="9"/>
  <c r="B35" i="9"/>
  <c r="A36" i="9"/>
  <c r="B36" i="9"/>
  <c r="A37" i="9"/>
  <c r="B37" i="9"/>
  <c r="A38" i="9"/>
  <c r="B38" i="9"/>
  <c r="A39" i="9"/>
  <c r="B39" i="9"/>
  <c r="A40" i="9"/>
  <c r="B40" i="9"/>
  <c r="A41" i="9"/>
  <c r="B41" i="9"/>
  <c r="A42" i="9"/>
  <c r="B42" i="9"/>
  <c r="A43" i="9"/>
  <c r="B43" i="9"/>
  <c r="A44" i="9"/>
  <c r="B44" i="9"/>
  <c r="A45" i="9"/>
  <c r="B45" i="9"/>
  <c r="A46" i="9"/>
  <c r="B46" i="9"/>
  <c r="A47" i="9"/>
  <c r="B47" i="9"/>
  <c r="A48" i="9"/>
  <c r="B48" i="9"/>
  <c r="A49" i="9"/>
  <c r="B49" i="9"/>
  <c r="A50" i="9"/>
  <c r="B50" i="9"/>
  <c r="A51" i="9"/>
  <c r="B51" i="9"/>
  <c r="A52" i="9"/>
  <c r="B52" i="9"/>
  <c r="A53" i="9"/>
  <c r="B53" i="9"/>
  <c r="A54" i="9"/>
  <c r="B54" i="9"/>
  <c r="A55" i="9"/>
  <c r="B55" i="9"/>
  <c r="A56" i="9"/>
  <c r="B56" i="9"/>
  <c r="A57" i="9"/>
  <c r="B57" i="9"/>
  <c r="A58" i="9"/>
  <c r="B58" i="9"/>
  <c r="A59" i="9"/>
  <c r="B59" i="9"/>
  <c r="A60" i="9"/>
  <c r="B60" i="9"/>
  <c r="A61" i="9"/>
  <c r="B61" i="9"/>
  <c r="A62" i="9"/>
  <c r="B62" i="9"/>
  <c r="A63" i="9"/>
  <c r="B63" i="9"/>
  <c r="A64" i="9"/>
  <c r="B64" i="9"/>
  <c r="A65" i="9"/>
  <c r="B65" i="9"/>
  <c r="A66" i="9"/>
  <c r="B66" i="9"/>
  <c r="A67" i="9"/>
  <c r="B67" i="9"/>
  <c r="A68" i="9"/>
  <c r="B68" i="9"/>
  <c r="A69" i="9"/>
  <c r="B69" i="9"/>
  <c r="A70" i="9"/>
  <c r="B70" i="9"/>
  <c r="A71" i="9"/>
  <c r="B71" i="9"/>
  <c r="A72" i="9"/>
  <c r="B72" i="9"/>
  <c r="A73" i="9"/>
  <c r="B73" i="9"/>
  <c r="A74" i="9"/>
  <c r="B74" i="9"/>
  <c r="A75" i="9"/>
  <c r="B75" i="9"/>
  <c r="A76" i="9"/>
  <c r="B76" i="9"/>
  <c r="A77" i="9"/>
  <c r="B77" i="9"/>
  <c r="A78" i="9"/>
  <c r="B78" i="9"/>
  <c r="A79" i="9"/>
  <c r="B79" i="9"/>
  <c r="A80" i="9"/>
  <c r="B80" i="9"/>
  <c r="A81" i="9"/>
  <c r="B81" i="9"/>
  <c r="A82" i="9"/>
  <c r="B82" i="9"/>
  <c r="A83" i="9"/>
  <c r="B83" i="9"/>
  <c r="A84" i="9"/>
  <c r="B84" i="9"/>
  <c r="A85" i="9"/>
  <c r="B85" i="9"/>
  <c r="A86" i="9"/>
  <c r="B86" i="9"/>
  <c r="A87" i="9"/>
  <c r="B87" i="9"/>
  <c r="A88" i="9"/>
  <c r="B88" i="9"/>
  <c r="A89" i="9"/>
  <c r="B89" i="9"/>
  <c r="A90" i="9"/>
  <c r="B90" i="9"/>
  <c r="A91" i="9"/>
  <c r="B91" i="9"/>
  <c r="A92" i="9"/>
  <c r="B92" i="9"/>
  <c r="A93" i="9"/>
  <c r="B93" i="9"/>
  <c r="A94" i="9"/>
  <c r="B94" i="9"/>
  <c r="A95" i="9"/>
  <c r="B95" i="9"/>
  <c r="A96" i="9"/>
  <c r="B96" i="9"/>
  <c r="A97" i="9"/>
  <c r="B97" i="9"/>
  <c r="A98" i="9"/>
  <c r="B98" i="9"/>
  <c r="A99" i="9"/>
  <c r="B99" i="9"/>
  <c r="A100" i="9"/>
  <c r="B100" i="9"/>
  <c r="A101" i="9"/>
  <c r="B101" i="9"/>
  <c r="A102" i="9"/>
  <c r="B102" i="9"/>
  <c r="A103" i="9"/>
  <c r="B103" i="9"/>
  <c r="A104" i="9"/>
  <c r="B104" i="9"/>
  <c r="A105" i="9"/>
  <c r="B105" i="9"/>
  <c r="A106" i="9"/>
  <c r="B106" i="9"/>
  <c r="A107" i="9"/>
  <c r="B107" i="9"/>
  <c r="A108" i="9"/>
  <c r="B108" i="9"/>
  <c r="A109" i="9"/>
  <c r="B109" i="9"/>
  <c r="A110" i="9"/>
  <c r="B110" i="9"/>
  <c r="A111" i="9"/>
  <c r="B111" i="9"/>
  <c r="A112" i="9"/>
  <c r="B112" i="9"/>
  <c r="A113" i="9"/>
  <c r="B113" i="9"/>
  <c r="A114" i="9"/>
  <c r="B114" i="9"/>
  <c r="A115" i="9"/>
  <c r="B115" i="9"/>
  <c r="A116" i="9"/>
  <c r="B116" i="9"/>
  <c r="A117" i="9"/>
  <c r="B117" i="9"/>
  <c r="A118" i="9"/>
  <c r="B118" i="9"/>
  <c r="A119" i="9"/>
  <c r="B119" i="9"/>
  <c r="A120" i="9"/>
  <c r="B120" i="9"/>
  <c r="A121" i="9"/>
  <c r="B121" i="9"/>
  <c r="A122" i="9"/>
  <c r="B122" i="9"/>
  <c r="A123" i="9"/>
  <c r="B123" i="9"/>
  <c r="A124" i="9"/>
  <c r="B124" i="9"/>
  <c r="A125" i="9"/>
  <c r="B125" i="9"/>
  <c r="A126" i="9"/>
  <c r="B126" i="9"/>
  <c r="A127" i="9"/>
  <c r="B127" i="9"/>
  <c r="A128" i="9"/>
  <c r="B128" i="9"/>
  <c r="A129" i="9"/>
  <c r="B129" i="9"/>
  <c r="A130" i="9"/>
  <c r="B130" i="9"/>
  <c r="A131" i="9"/>
  <c r="B131" i="9"/>
  <c r="A132" i="9"/>
  <c r="B132" i="9"/>
  <c r="A133" i="9"/>
  <c r="B133" i="9"/>
  <c r="A134" i="9"/>
  <c r="B134" i="9"/>
  <c r="A135" i="9"/>
  <c r="B135" i="9"/>
  <c r="A136" i="9"/>
  <c r="B136" i="9"/>
  <c r="A137" i="9"/>
  <c r="B137" i="9"/>
  <c r="A138" i="9"/>
  <c r="B138" i="9"/>
  <c r="A139" i="9"/>
  <c r="B139" i="9"/>
  <c r="A140" i="9"/>
  <c r="B140" i="9"/>
  <c r="A141" i="9"/>
  <c r="B141" i="9"/>
  <c r="A142" i="9"/>
  <c r="B142" i="9"/>
  <c r="A143" i="9"/>
  <c r="B143" i="9"/>
  <c r="A144" i="9"/>
  <c r="B144" i="9"/>
  <c r="A145" i="9"/>
  <c r="B145" i="9"/>
  <c r="A146" i="9"/>
  <c r="B146" i="9"/>
  <c r="A147" i="9"/>
  <c r="B147" i="9"/>
  <c r="A148" i="9"/>
  <c r="B148" i="9"/>
  <c r="A149" i="9"/>
  <c r="B149" i="9"/>
  <c r="A150" i="9"/>
  <c r="B150" i="9"/>
  <c r="A151" i="9"/>
  <c r="B151" i="9"/>
  <c r="A152" i="9"/>
  <c r="B152" i="9"/>
  <c r="A153" i="9"/>
  <c r="B153" i="9"/>
  <c r="A154" i="9"/>
  <c r="B154" i="9"/>
  <c r="A155" i="9"/>
  <c r="B155" i="9"/>
  <c r="A156" i="9"/>
  <c r="B156" i="9"/>
  <c r="A157" i="9"/>
  <c r="B157" i="9"/>
  <c r="A158" i="9"/>
  <c r="B158" i="9"/>
  <c r="A159" i="9"/>
  <c r="B159" i="9"/>
  <c r="A160" i="9"/>
  <c r="B160" i="9"/>
  <c r="A161" i="9"/>
  <c r="B161" i="9"/>
  <c r="A162" i="9"/>
  <c r="B162" i="9"/>
  <c r="A163" i="9"/>
  <c r="B163" i="9"/>
  <c r="A164" i="9"/>
  <c r="B164" i="9"/>
  <c r="A165" i="9"/>
  <c r="B165" i="9"/>
  <c r="A166" i="9"/>
  <c r="B166" i="9"/>
  <c r="A167" i="9"/>
  <c r="B167" i="9"/>
  <c r="A168" i="9"/>
  <c r="B168" i="9"/>
  <c r="A169" i="9"/>
  <c r="B169" i="9"/>
  <c r="A170" i="9"/>
  <c r="B170" i="9"/>
  <c r="A171" i="9"/>
  <c r="B171" i="9"/>
  <c r="A172" i="9"/>
  <c r="B172" i="9"/>
  <c r="A173" i="9"/>
  <c r="B173" i="9"/>
  <c r="A174" i="9"/>
  <c r="B174" i="9"/>
  <c r="A175" i="9"/>
  <c r="B175" i="9"/>
  <c r="A176" i="9"/>
  <c r="B176" i="9"/>
  <c r="A177" i="9"/>
  <c r="B177" i="9"/>
  <c r="A178" i="9"/>
  <c r="B178" i="9"/>
  <c r="A179" i="9"/>
  <c r="B179" i="9"/>
  <c r="A180" i="9"/>
  <c r="B180" i="9"/>
  <c r="A181" i="9"/>
  <c r="B181" i="9"/>
  <c r="A182" i="9"/>
  <c r="B182" i="9"/>
  <c r="A183" i="9"/>
  <c r="B183" i="9"/>
  <c r="A184" i="9"/>
  <c r="B184" i="9"/>
  <c r="A185" i="9"/>
  <c r="B185" i="9"/>
  <c r="A186" i="9"/>
  <c r="B186" i="9"/>
  <c r="A187" i="9"/>
  <c r="B187" i="9"/>
  <c r="A188" i="9"/>
  <c r="B188" i="9"/>
  <c r="A189" i="9"/>
  <c r="B189" i="9"/>
  <c r="A190" i="9"/>
  <c r="B190" i="9"/>
  <c r="A191" i="9"/>
  <c r="B191" i="9"/>
  <c r="A192" i="9"/>
  <c r="B192" i="9"/>
  <c r="A193" i="9"/>
  <c r="B193" i="9"/>
  <c r="A194" i="9"/>
  <c r="B194" i="9"/>
  <c r="A195" i="9"/>
  <c r="B195" i="9"/>
  <c r="A196" i="9"/>
  <c r="B196" i="9"/>
  <c r="A197" i="9"/>
  <c r="B197" i="9"/>
  <c r="A198" i="9"/>
  <c r="B198" i="9"/>
  <c r="A199" i="9"/>
  <c r="B199" i="9"/>
  <c r="A200" i="9"/>
  <c r="B200" i="9"/>
  <c r="A201" i="9"/>
  <c r="B201" i="9"/>
  <c r="A202" i="9"/>
  <c r="B202" i="9"/>
  <c r="A203" i="9"/>
  <c r="B203" i="9"/>
  <c r="A204" i="9"/>
  <c r="B204" i="9"/>
  <c r="A205" i="9"/>
  <c r="B205" i="9"/>
  <c r="A206" i="9"/>
  <c r="B206" i="9"/>
  <c r="A207" i="9"/>
  <c r="B207" i="9"/>
  <c r="A208" i="9"/>
  <c r="B208" i="9"/>
  <c r="A209" i="9"/>
  <c r="B209" i="9"/>
  <c r="A210" i="9"/>
  <c r="B210" i="9"/>
  <c r="A211" i="9"/>
  <c r="B211" i="9"/>
  <c r="A212" i="9"/>
  <c r="B212" i="9"/>
  <c r="A213" i="9"/>
  <c r="B213" i="9"/>
  <c r="A214" i="9"/>
  <c r="B214" i="9"/>
  <c r="A215" i="9"/>
  <c r="B215" i="9"/>
  <c r="A216" i="9"/>
  <c r="B216" i="9"/>
  <c r="A217" i="9"/>
  <c r="B217" i="9"/>
  <c r="A218" i="9"/>
  <c r="B218" i="9"/>
  <c r="A219" i="9"/>
  <c r="B219" i="9"/>
  <c r="A220" i="9"/>
  <c r="B220" i="9"/>
  <c r="A221" i="9"/>
  <c r="B221" i="9"/>
  <c r="A222" i="9"/>
  <c r="B222" i="9"/>
  <c r="A223" i="9"/>
  <c r="B223" i="9"/>
  <c r="A224" i="9"/>
  <c r="B224" i="9"/>
  <c r="A225" i="9"/>
  <c r="B225" i="9"/>
  <c r="A226" i="9"/>
  <c r="B226" i="9"/>
  <c r="A227" i="9"/>
  <c r="B227" i="9"/>
  <c r="A228" i="9"/>
  <c r="B228" i="9"/>
  <c r="A229" i="9"/>
  <c r="B229" i="9"/>
  <c r="A230" i="9"/>
  <c r="B230" i="9"/>
  <c r="A231" i="9"/>
  <c r="B231" i="9"/>
  <c r="A232" i="9"/>
  <c r="B232" i="9"/>
  <c r="A233" i="9"/>
  <c r="B233" i="9"/>
  <c r="A234" i="9"/>
  <c r="B234" i="9"/>
  <c r="A235" i="9"/>
  <c r="B235" i="9"/>
  <c r="A236" i="9"/>
  <c r="B236" i="9"/>
  <c r="A237" i="9"/>
  <c r="B237" i="9"/>
  <c r="A238" i="9"/>
  <c r="B238" i="9"/>
  <c r="A239" i="9"/>
  <c r="B239" i="9"/>
  <c r="A240" i="9"/>
  <c r="B240" i="9"/>
  <c r="A241" i="9"/>
  <c r="B241" i="9"/>
  <c r="A242" i="9"/>
  <c r="B242" i="9"/>
  <c r="A243" i="9"/>
  <c r="B243" i="9"/>
  <c r="A244" i="9"/>
  <c r="B244" i="9"/>
  <c r="A245" i="9"/>
  <c r="B245" i="9"/>
  <c r="A246" i="9"/>
  <c r="B246" i="9"/>
  <c r="A247" i="9"/>
  <c r="B247" i="9"/>
  <c r="A248" i="9"/>
  <c r="B248" i="9"/>
  <c r="A249" i="9"/>
  <c r="B249" i="9"/>
  <c r="A250" i="9"/>
  <c r="B250" i="9"/>
  <c r="A251" i="9"/>
  <c r="B251" i="9"/>
  <c r="A252" i="9"/>
  <c r="B252" i="9"/>
  <c r="A253" i="9"/>
  <c r="B253" i="9"/>
  <c r="A254" i="9"/>
  <c r="B254" i="9"/>
  <c r="A255" i="9"/>
  <c r="B255" i="9"/>
  <c r="A256" i="9"/>
  <c r="B256" i="9"/>
  <c r="A257" i="9"/>
  <c r="B257" i="9"/>
  <c r="A258" i="9"/>
  <c r="B258" i="9"/>
  <c r="A259" i="9"/>
  <c r="B259" i="9"/>
  <c r="A260" i="9"/>
  <c r="B260" i="9"/>
  <c r="A261" i="9"/>
  <c r="B261" i="9"/>
  <c r="A262" i="9"/>
  <c r="B262" i="9"/>
  <c r="A263" i="9"/>
  <c r="B263" i="9"/>
  <c r="A264" i="9"/>
  <c r="B264" i="9"/>
  <c r="A265" i="9"/>
  <c r="B265" i="9"/>
  <c r="A266" i="9"/>
  <c r="B266" i="9"/>
  <c r="A267" i="9"/>
  <c r="B267" i="9"/>
  <c r="A268" i="9"/>
  <c r="B268" i="9"/>
  <c r="A269" i="9"/>
  <c r="B269" i="9"/>
  <c r="A270" i="9"/>
  <c r="B270" i="9"/>
  <c r="A271" i="9"/>
  <c r="B271" i="9"/>
  <c r="A272" i="9"/>
  <c r="B272" i="9"/>
  <c r="A273" i="9"/>
  <c r="B273" i="9"/>
  <c r="A274" i="9"/>
  <c r="B274" i="9"/>
  <c r="A275" i="9"/>
  <c r="B275" i="9"/>
  <c r="A276" i="9"/>
  <c r="B276" i="9"/>
  <c r="A277" i="9"/>
  <c r="B277" i="9"/>
  <c r="A278" i="9"/>
  <c r="B278" i="9"/>
  <c r="A279" i="9"/>
  <c r="B279" i="9"/>
  <c r="A280" i="9"/>
  <c r="B280" i="9"/>
  <c r="A281" i="9"/>
  <c r="B281" i="9"/>
  <c r="A282" i="9"/>
  <c r="B282" i="9"/>
  <c r="A283" i="9"/>
  <c r="B283" i="9"/>
  <c r="A284" i="9"/>
  <c r="B284" i="9"/>
  <c r="A285" i="9"/>
  <c r="B285" i="9"/>
  <c r="A286" i="9"/>
  <c r="B286" i="9"/>
  <c r="A287" i="9"/>
  <c r="B287" i="9"/>
  <c r="A288" i="9"/>
  <c r="B288" i="9"/>
  <c r="A289" i="9"/>
  <c r="B289" i="9"/>
  <c r="A290" i="9"/>
  <c r="B290" i="9"/>
  <c r="A291" i="9"/>
  <c r="B291" i="9"/>
  <c r="A292" i="9"/>
  <c r="B292" i="9"/>
  <c r="A293" i="9"/>
  <c r="B293" i="9"/>
  <c r="A294" i="9"/>
  <c r="B294" i="9"/>
  <c r="A295" i="9"/>
  <c r="B295" i="9"/>
  <c r="A296" i="9"/>
  <c r="B296" i="9"/>
  <c r="A297" i="9"/>
  <c r="B297" i="9"/>
  <c r="A298" i="9"/>
  <c r="B298" i="9"/>
  <c r="A299" i="9"/>
  <c r="B299" i="9"/>
  <c r="A300" i="9"/>
  <c r="B300" i="9"/>
  <c r="A301" i="9"/>
  <c r="B301" i="9"/>
  <c r="A302" i="9"/>
  <c r="B302" i="9"/>
  <c r="A303" i="9"/>
  <c r="B303" i="9"/>
  <c r="A304" i="9"/>
  <c r="B304" i="9"/>
  <c r="A305" i="9"/>
  <c r="B305" i="9"/>
  <c r="A306" i="9"/>
  <c r="B306" i="9"/>
  <c r="A307" i="9"/>
  <c r="B307" i="9"/>
  <c r="A308" i="9"/>
  <c r="B308" i="9"/>
  <c r="A309" i="9"/>
  <c r="B309" i="9"/>
  <c r="A310" i="9"/>
  <c r="B310" i="9"/>
  <c r="A311" i="9"/>
  <c r="B311" i="9"/>
  <c r="A312" i="9"/>
  <c r="B312" i="9"/>
  <c r="A313" i="9"/>
  <c r="B313" i="9"/>
  <c r="A314" i="9"/>
  <c r="B314" i="9"/>
  <c r="A315" i="9"/>
  <c r="B315" i="9"/>
  <c r="A316" i="9"/>
  <c r="B316" i="9"/>
  <c r="A317" i="9"/>
  <c r="B317" i="9"/>
  <c r="A318" i="9"/>
  <c r="B318" i="9"/>
  <c r="A319" i="9"/>
  <c r="B319" i="9"/>
  <c r="A320" i="9"/>
  <c r="B320" i="9"/>
  <c r="A321" i="9"/>
  <c r="B321" i="9"/>
  <c r="A322" i="9"/>
  <c r="B322" i="9"/>
  <c r="A323" i="9"/>
  <c r="B323" i="9"/>
  <c r="A324" i="9"/>
  <c r="B324" i="9"/>
  <c r="A325" i="9"/>
  <c r="B325" i="9"/>
  <c r="A326" i="9"/>
  <c r="B326" i="9"/>
  <c r="A327" i="9"/>
  <c r="B327" i="9"/>
  <c r="A328" i="9"/>
  <c r="B328" i="9"/>
  <c r="A329" i="9"/>
  <c r="B329" i="9"/>
  <c r="A330" i="9"/>
  <c r="B330" i="9"/>
  <c r="A331" i="9"/>
  <c r="B331" i="9"/>
  <c r="A332" i="9"/>
  <c r="B332" i="9"/>
  <c r="A333" i="9"/>
  <c r="B333" i="9"/>
  <c r="A334" i="9"/>
  <c r="B334" i="9"/>
  <c r="A335" i="9"/>
  <c r="B335" i="9"/>
  <c r="A336" i="9"/>
  <c r="B336" i="9"/>
  <c r="A337" i="9"/>
  <c r="B337" i="9"/>
  <c r="A338" i="9"/>
  <c r="B338" i="9"/>
  <c r="A339" i="9"/>
  <c r="B339" i="9"/>
  <c r="A340" i="9"/>
  <c r="B340" i="9"/>
  <c r="A341" i="9"/>
  <c r="B341" i="9"/>
  <c r="A342" i="9"/>
  <c r="B342" i="9"/>
  <c r="A343" i="9"/>
  <c r="B343" i="9"/>
  <c r="A344" i="9"/>
  <c r="B344" i="9"/>
  <c r="A345" i="9"/>
  <c r="B345" i="9"/>
  <c r="A346" i="9"/>
  <c r="B346" i="9"/>
  <c r="A347" i="9"/>
  <c r="B347" i="9"/>
  <c r="A348" i="9"/>
  <c r="B348" i="9"/>
  <c r="A349" i="9"/>
  <c r="B349" i="9"/>
  <c r="A350" i="9"/>
  <c r="B350" i="9"/>
  <c r="A351" i="9"/>
  <c r="B351" i="9"/>
  <c r="A352" i="9"/>
  <c r="B352" i="9"/>
  <c r="A353" i="9"/>
  <c r="B353" i="9"/>
  <c r="A354" i="9"/>
  <c r="B354" i="9"/>
  <c r="A355" i="9"/>
  <c r="B355" i="9"/>
  <c r="A356" i="9"/>
  <c r="B356" i="9"/>
  <c r="A357" i="9"/>
  <c r="B357" i="9"/>
  <c r="A358" i="9"/>
  <c r="B358" i="9"/>
  <c r="A359" i="9"/>
  <c r="B359" i="9"/>
  <c r="A360" i="9"/>
  <c r="B360" i="9"/>
  <c r="A361" i="9"/>
  <c r="B361" i="9"/>
  <c r="A362" i="9"/>
  <c r="B362" i="9"/>
  <c r="A363" i="9"/>
  <c r="B363" i="9"/>
  <c r="A364" i="9"/>
  <c r="B364" i="9"/>
  <c r="A365" i="9"/>
  <c r="B365" i="9"/>
  <c r="A366" i="9"/>
  <c r="B366" i="9"/>
  <c r="A367" i="9"/>
  <c r="B367" i="9"/>
  <c r="A368" i="9"/>
  <c r="B368" i="9"/>
  <c r="A369" i="9"/>
  <c r="B369" i="9"/>
  <c r="A370" i="9"/>
  <c r="B370" i="9"/>
  <c r="A371" i="9"/>
  <c r="B371" i="9"/>
  <c r="A372" i="9"/>
  <c r="B372" i="9"/>
  <c r="A373" i="9"/>
  <c r="B373" i="9"/>
  <c r="A374" i="9"/>
  <c r="B374" i="9"/>
  <c r="A375" i="9"/>
  <c r="B375" i="9"/>
  <c r="A376" i="9"/>
  <c r="B376" i="9"/>
  <c r="A377" i="9"/>
  <c r="B377" i="9"/>
  <c r="A378" i="9"/>
  <c r="B378" i="9"/>
  <c r="A379" i="9"/>
  <c r="B379" i="9"/>
  <c r="A380" i="9"/>
  <c r="B380" i="9"/>
  <c r="A381" i="9"/>
  <c r="B381" i="9"/>
  <c r="A382" i="9"/>
  <c r="B382" i="9"/>
  <c r="A383" i="9"/>
  <c r="B383" i="9"/>
  <c r="A384" i="9"/>
  <c r="B384" i="9"/>
  <c r="A385" i="9"/>
  <c r="B385" i="9"/>
  <c r="A386" i="9"/>
  <c r="B386" i="9"/>
  <c r="A387" i="9"/>
  <c r="B387" i="9"/>
  <c r="A388" i="9"/>
  <c r="B388" i="9"/>
  <c r="A389" i="9"/>
  <c r="B389" i="9"/>
  <c r="A390" i="9"/>
  <c r="B390" i="9"/>
  <c r="A391" i="9"/>
  <c r="B391" i="9"/>
  <c r="A392" i="9"/>
  <c r="B392" i="9"/>
  <c r="A393" i="9"/>
  <c r="B393" i="9"/>
  <c r="A394" i="9"/>
  <c r="B394" i="9"/>
  <c r="A395" i="9"/>
  <c r="B395" i="9"/>
  <c r="A396" i="9"/>
  <c r="B396" i="9"/>
  <c r="A397" i="9"/>
  <c r="B397" i="9"/>
  <c r="A398" i="9"/>
  <c r="B398" i="9"/>
  <c r="A399" i="9"/>
  <c r="B399" i="9"/>
  <c r="A400" i="9"/>
  <c r="B400" i="9"/>
  <c r="A401" i="9"/>
  <c r="B401" i="9"/>
  <c r="A402" i="9"/>
  <c r="B402" i="9"/>
  <c r="A403" i="9"/>
  <c r="B403" i="9"/>
  <c r="A404" i="9"/>
  <c r="B404" i="9"/>
  <c r="A405" i="9"/>
  <c r="B405" i="9"/>
  <c r="A406" i="9"/>
  <c r="B406" i="9"/>
  <c r="A407" i="9"/>
  <c r="B407" i="9"/>
  <c r="A408" i="9"/>
  <c r="B408" i="9"/>
  <c r="A409" i="9"/>
  <c r="B409" i="9"/>
  <c r="A410" i="9"/>
  <c r="B410" i="9"/>
  <c r="A411" i="9"/>
  <c r="B411" i="9"/>
  <c r="A412" i="9"/>
  <c r="B412" i="9"/>
  <c r="A413" i="9"/>
  <c r="B413" i="9"/>
  <c r="A414" i="9"/>
  <c r="B414" i="9"/>
  <c r="A415" i="9"/>
  <c r="B415" i="9"/>
  <c r="A416" i="9"/>
  <c r="B416" i="9"/>
  <c r="A417" i="9"/>
  <c r="B417" i="9"/>
  <c r="A418" i="9"/>
  <c r="B418" i="9"/>
  <c r="A419" i="9"/>
  <c r="B419" i="9"/>
  <c r="A420" i="9"/>
  <c r="B420" i="9"/>
  <c r="A421" i="9"/>
  <c r="B421" i="9"/>
  <c r="A422" i="9"/>
  <c r="B422" i="9"/>
  <c r="A423" i="9"/>
  <c r="B423" i="9"/>
  <c r="A424" i="9"/>
  <c r="B424" i="9"/>
  <c r="A425" i="9"/>
  <c r="B425" i="9"/>
  <c r="A426" i="9"/>
  <c r="B426" i="9"/>
  <c r="A427" i="9"/>
  <c r="B427" i="9"/>
  <c r="A428" i="9"/>
  <c r="B428" i="9"/>
  <c r="A429" i="9"/>
  <c r="B429" i="9"/>
  <c r="A430" i="9"/>
  <c r="B430" i="9"/>
  <c r="A431" i="9"/>
  <c r="B431" i="9"/>
  <c r="A432" i="9"/>
  <c r="B432" i="9"/>
  <c r="A433" i="9"/>
  <c r="B433" i="9"/>
  <c r="A434" i="9"/>
  <c r="B434" i="9"/>
  <c r="A435" i="9"/>
  <c r="B435" i="9"/>
  <c r="A436" i="9"/>
  <c r="B436" i="9"/>
  <c r="A437" i="9"/>
  <c r="B437" i="9"/>
  <c r="A438" i="9"/>
  <c r="B438" i="9"/>
  <c r="A439" i="9"/>
  <c r="B439" i="9"/>
  <c r="A440" i="9"/>
  <c r="B440" i="9"/>
  <c r="A441" i="9"/>
  <c r="B441" i="9"/>
  <c r="A442" i="9"/>
  <c r="B442" i="9"/>
  <c r="A443" i="9"/>
  <c r="B443" i="9"/>
  <c r="A444" i="9"/>
  <c r="B444" i="9"/>
  <c r="A445" i="9"/>
  <c r="B445" i="9"/>
  <c r="A446" i="9"/>
  <c r="B446" i="9"/>
  <c r="A447" i="9"/>
  <c r="B447" i="9"/>
  <c r="A448" i="9"/>
  <c r="B448" i="9"/>
  <c r="A449" i="9"/>
  <c r="B449" i="9"/>
  <c r="A450" i="9"/>
  <c r="B450" i="9"/>
  <c r="A451" i="9"/>
  <c r="B451" i="9"/>
  <c r="A452" i="9"/>
  <c r="B452" i="9"/>
  <c r="A453" i="9"/>
  <c r="B453" i="9"/>
  <c r="A454" i="9"/>
  <c r="B454" i="9"/>
  <c r="A455" i="9"/>
  <c r="B455" i="9"/>
  <c r="A456" i="9"/>
  <c r="B456" i="9"/>
  <c r="A457" i="9"/>
  <c r="B457" i="9"/>
  <c r="A458" i="9"/>
  <c r="B458" i="9"/>
  <c r="A459" i="9"/>
  <c r="B459" i="9"/>
  <c r="A460" i="9"/>
  <c r="B460" i="9"/>
  <c r="A461" i="9"/>
  <c r="B461" i="9"/>
  <c r="A462" i="9"/>
  <c r="B462" i="9"/>
  <c r="A463" i="9"/>
  <c r="B463" i="9"/>
  <c r="A464" i="9"/>
  <c r="B464" i="9"/>
  <c r="A465" i="9"/>
  <c r="B465" i="9"/>
  <c r="A466" i="9"/>
  <c r="B466" i="9"/>
  <c r="A467" i="9"/>
  <c r="B467" i="9"/>
  <c r="A468" i="9"/>
  <c r="B468" i="9"/>
  <c r="A469" i="9"/>
  <c r="B469" i="9"/>
  <c r="A470" i="9"/>
  <c r="B470" i="9"/>
  <c r="A471" i="9"/>
  <c r="B471" i="9"/>
  <c r="A472" i="9"/>
  <c r="B472" i="9"/>
  <c r="A473" i="9"/>
  <c r="B473" i="9"/>
  <c r="A474" i="9"/>
  <c r="B474" i="9"/>
  <c r="A475" i="9"/>
  <c r="B475" i="9"/>
  <c r="A476" i="9"/>
  <c r="B476" i="9"/>
  <c r="A477" i="9"/>
  <c r="B477" i="9"/>
  <c r="A478" i="9"/>
  <c r="B478" i="9"/>
  <c r="A479" i="9"/>
  <c r="B479" i="9"/>
  <c r="A480" i="9"/>
  <c r="B480" i="9"/>
  <c r="A481" i="9"/>
  <c r="B481" i="9"/>
  <c r="A482" i="9"/>
  <c r="B482" i="9"/>
  <c r="A483" i="9"/>
  <c r="B483" i="9"/>
  <c r="A484" i="9"/>
  <c r="B484" i="9"/>
  <c r="A485" i="9"/>
  <c r="B485" i="9"/>
  <c r="A486" i="9"/>
  <c r="B486" i="9"/>
  <c r="A487" i="9"/>
  <c r="B487" i="9"/>
  <c r="A488" i="9"/>
  <c r="B488" i="9"/>
  <c r="A489" i="9"/>
  <c r="B489" i="9"/>
  <c r="A490" i="9"/>
  <c r="B490" i="9"/>
  <c r="A491" i="9"/>
  <c r="B491" i="9"/>
  <c r="A492" i="9"/>
  <c r="B492" i="9"/>
  <c r="A493" i="9"/>
  <c r="B493" i="9"/>
  <c r="A494" i="9"/>
  <c r="B494" i="9"/>
  <c r="A495" i="9"/>
  <c r="B495" i="9"/>
  <c r="A496" i="9"/>
  <c r="B496" i="9"/>
  <c r="A497" i="9"/>
  <c r="B497" i="9"/>
  <c r="A498" i="9"/>
  <c r="B498" i="9"/>
  <c r="A499" i="9"/>
  <c r="B499" i="9"/>
  <c r="A500" i="9"/>
  <c r="B500" i="9"/>
  <c r="A501" i="9"/>
  <c r="B501" i="9"/>
  <c r="A502" i="9"/>
  <c r="B502" i="9"/>
  <c r="A503" i="9"/>
  <c r="B503" i="9"/>
  <c r="A504" i="9"/>
  <c r="B504" i="9"/>
  <c r="A505" i="9"/>
  <c r="B505" i="9"/>
  <c r="A506" i="9"/>
  <c r="B506" i="9"/>
  <c r="A507" i="9"/>
  <c r="B507" i="9"/>
  <c r="A508" i="9"/>
  <c r="B508" i="9"/>
  <c r="A509" i="9"/>
  <c r="B509" i="9"/>
  <c r="A510" i="9"/>
  <c r="B510" i="9"/>
  <c r="A511" i="9"/>
  <c r="B511" i="9"/>
  <c r="A512" i="9"/>
  <c r="B512" i="9"/>
  <c r="A513" i="9"/>
  <c r="B513" i="9"/>
  <c r="A514" i="9"/>
  <c r="B514" i="9"/>
  <c r="A515" i="9"/>
  <c r="B515" i="9"/>
  <c r="A516" i="9"/>
  <c r="B516" i="9"/>
  <c r="A517" i="9"/>
  <c r="B517" i="9"/>
  <c r="A518" i="9"/>
  <c r="B518" i="9"/>
  <c r="A519" i="9"/>
  <c r="B519" i="9"/>
  <c r="A520" i="9"/>
  <c r="B520" i="9"/>
  <c r="A521" i="9"/>
  <c r="B521" i="9"/>
  <c r="A522" i="9"/>
  <c r="B522" i="9"/>
  <c r="A523" i="9"/>
  <c r="B523" i="9"/>
  <c r="A524" i="9"/>
  <c r="B524" i="9"/>
  <c r="A525" i="9"/>
  <c r="B525" i="9"/>
  <c r="A526" i="9"/>
  <c r="B526" i="9"/>
  <c r="A527" i="9"/>
  <c r="B527" i="9"/>
  <c r="A528" i="9"/>
  <c r="B528" i="9"/>
  <c r="A529" i="9"/>
  <c r="B529" i="9"/>
  <c r="A530" i="9"/>
  <c r="B530" i="9"/>
  <c r="A531" i="9"/>
  <c r="B531" i="9"/>
  <c r="A532" i="9"/>
  <c r="B532" i="9"/>
  <c r="A533" i="9"/>
  <c r="B533" i="9"/>
  <c r="A534" i="9"/>
  <c r="B534" i="9"/>
  <c r="A535" i="9"/>
  <c r="B535" i="9"/>
  <c r="A536" i="9"/>
  <c r="B536" i="9"/>
  <c r="A537" i="9"/>
  <c r="B537" i="9"/>
  <c r="A538" i="9"/>
  <c r="B538" i="9"/>
  <c r="A539" i="9"/>
  <c r="B539" i="9"/>
  <c r="A540" i="9"/>
  <c r="B540" i="9"/>
  <c r="A541" i="9"/>
  <c r="B541" i="9"/>
  <c r="A542" i="9"/>
  <c r="B542" i="9"/>
  <c r="A543" i="9"/>
  <c r="B543" i="9"/>
  <c r="A544" i="9"/>
  <c r="B544" i="9"/>
  <c r="A545" i="9"/>
  <c r="B545" i="9"/>
  <c r="A546" i="9"/>
  <c r="B546" i="9"/>
  <c r="A547" i="9"/>
  <c r="B547" i="9"/>
  <c r="A548" i="9"/>
  <c r="B548" i="9"/>
  <c r="A549" i="9"/>
  <c r="B549" i="9"/>
  <c r="A550" i="9"/>
  <c r="B550" i="9"/>
  <c r="A551" i="9"/>
  <c r="B551" i="9"/>
  <c r="A552" i="9"/>
  <c r="B552" i="9"/>
  <c r="A553" i="9"/>
  <c r="B553" i="9"/>
  <c r="A554" i="9"/>
  <c r="B554" i="9"/>
  <c r="A555" i="9"/>
  <c r="B555" i="9"/>
  <c r="A556" i="9"/>
  <c r="B556" i="9"/>
  <c r="A557" i="9"/>
  <c r="B557" i="9"/>
  <c r="A558" i="9"/>
  <c r="B558" i="9"/>
  <c r="A559" i="9"/>
  <c r="B559" i="9"/>
  <c r="A560" i="9"/>
  <c r="B560" i="9"/>
  <c r="A561" i="9"/>
  <c r="B561" i="9"/>
  <c r="A562" i="9"/>
  <c r="B562" i="9"/>
  <c r="A563" i="9"/>
  <c r="B563" i="9"/>
  <c r="A564" i="9"/>
  <c r="B564" i="9"/>
  <c r="A565" i="9"/>
  <c r="B565" i="9"/>
  <c r="A566" i="9"/>
  <c r="B566" i="9"/>
  <c r="A567" i="9"/>
  <c r="B567" i="9"/>
  <c r="A568" i="9"/>
  <c r="B568" i="9"/>
  <c r="A569" i="9"/>
  <c r="B569" i="9"/>
  <c r="A570" i="9"/>
  <c r="B570" i="9"/>
  <c r="A571" i="9"/>
  <c r="B571" i="9"/>
  <c r="A572" i="9"/>
  <c r="B572" i="9"/>
  <c r="A573" i="9"/>
  <c r="B573" i="9"/>
  <c r="A574" i="9"/>
  <c r="B574" i="9"/>
  <c r="A575" i="9"/>
  <c r="B575" i="9"/>
  <c r="A576" i="9"/>
  <c r="B576" i="9"/>
  <c r="A577" i="9"/>
  <c r="B577" i="9"/>
  <c r="A578" i="9"/>
  <c r="B578" i="9"/>
  <c r="A579" i="9"/>
  <c r="B579" i="9"/>
  <c r="A580" i="9"/>
  <c r="B580" i="9"/>
  <c r="A581" i="9"/>
  <c r="B581" i="9"/>
  <c r="A582" i="9"/>
  <c r="B582" i="9"/>
  <c r="A583" i="9"/>
  <c r="B583" i="9"/>
  <c r="A584" i="9"/>
  <c r="B584" i="9"/>
  <c r="A585" i="9"/>
  <c r="B585" i="9"/>
  <c r="A586" i="9"/>
  <c r="B586" i="9"/>
  <c r="A587" i="9"/>
  <c r="B587" i="9"/>
  <c r="A588" i="9"/>
  <c r="B588" i="9"/>
  <c r="A589" i="9"/>
  <c r="B589" i="9"/>
  <c r="A590" i="9"/>
  <c r="B590" i="9"/>
  <c r="A591" i="9"/>
  <c r="B591" i="9"/>
  <c r="A592" i="9"/>
  <c r="B592" i="9"/>
  <c r="A593" i="9"/>
  <c r="B593" i="9"/>
  <c r="A594" i="9"/>
  <c r="B594" i="9"/>
  <c r="A595" i="9"/>
  <c r="B595" i="9"/>
  <c r="A596" i="9"/>
  <c r="B596" i="9"/>
  <c r="A597" i="9"/>
  <c r="B597" i="9"/>
  <c r="A598" i="9"/>
  <c r="B598" i="9"/>
  <c r="A599" i="9"/>
  <c r="B599" i="9"/>
  <c r="A600" i="9"/>
  <c r="B600" i="9"/>
  <c r="A601" i="9"/>
  <c r="B601" i="9"/>
  <c r="A602" i="9"/>
  <c r="B602" i="9"/>
  <c r="A603" i="9"/>
  <c r="B603" i="9"/>
  <c r="A604" i="9"/>
  <c r="B604" i="9"/>
  <c r="A605" i="9"/>
  <c r="B605" i="9"/>
  <c r="A606" i="9"/>
  <c r="B606" i="9"/>
  <c r="A607" i="9"/>
  <c r="B607" i="9"/>
  <c r="A608" i="9"/>
  <c r="B608" i="9"/>
  <c r="A609" i="9"/>
  <c r="B609" i="9"/>
  <c r="A610" i="9"/>
  <c r="B610" i="9"/>
  <c r="A611" i="9"/>
  <c r="B611" i="9"/>
  <c r="A612" i="9"/>
  <c r="B612" i="9"/>
  <c r="A613" i="9"/>
  <c r="B613" i="9"/>
  <c r="A614" i="9"/>
  <c r="B614" i="9"/>
  <c r="A615" i="9"/>
  <c r="B615" i="9"/>
  <c r="A616" i="9"/>
  <c r="B616" i="9"/>
  <c r="A617" i="9"/>
  <c r="B617" i="9"/>
  <c r="A618" i="9"/>
  <c r="B618" i="9"/>
  <c r="A619" i="9"/>
  <c r="B619" i="9"/>
  <c r="A620" i="9"/>
  <c r="B620" i="9"/>
  <c r="A621" i="9"/>
  <c r="B621" i="9"/>
  <c r="A622" i="9"/>
  <c r="B622" i="9"/>
  <c r="A623" i="9"/>
  <c r="B623" i="9"/>
  <c r="A624" i="9"/>
  <c r="B624" i="9"/>
  <c r="A625" i="9"/>
  <c r="B625" i="9"/>
  <c r="A626" i="9"/>
  <c r="B626" i="9"/>
  <c r="A627" i="9"/>
  <c r="B627" i="9"/>
  <c r="A628" i="9"/>
  <c r="B628" i="9"/>
  <c r="A629" i="9"/>
  <c r="B629" i="9"/>
  <c r="A630" i="9"/>
  <c r="B630" i="9"/>
  <c r="A631" i="9"/>
  <c r="B631" i="9"/>
  <c r="A632" i="9"/>
  <c r="B632" i="9"/>
  <c r="A633" i="9"/>
  <c r="B633" i="9"/>
  <c r="A634" i="9"/>
  <c r="B634" i="9"/>
  <c r="A635" i="9"/>
  <c r="B635" i="9"/>
  <c r="A636" i="9"/>
  <c r="B636" i="9"/>
  <c r="A637" i="9"/>
  <c r="B637" i="9"/>
  <c r="A638" i="9"/>
  <c r="B638" i="9"/>
  <c r="A639" i="9"/>
  <c r="B639" i="9"/>
  <c r="A640" i="9"/>
  <c r="B640" i="9"/>
  <c r="A641" i="9"/>
  <c r="B641" i="9"/>
  <c r="A642" i="9"/>
  <c r="B642" i="9"/>
  <c r="A643" i="9"/>
  <c r="B643" i="9"/>
  <c r="A644" i="9"/>
  <c r="B644" i="9"/>
  <c r="A645" i="9"/>
  <c r="B645" i="9"/>
  <c r="A646" i="9"/>
  <c r="B646" i="9"/>
  <c r="A647" i="9"/>
  <c r="B647" i="9"/>
  <c r="A648" i="9"/>
  <c r="B648" i="9"/>
  <c r="A649" i="9"/>
  <c r="B649" i="9"/>
  <c r="A650" i="9"/>
  <c r="B650" i="9"/>
  <c r="A651" i="9"/>
  <c r="B651" i="9"/>
  <c r="A652" i="9"/>
  <c r="B652" i="9"/>
  <c r="A653" i="9"/>
  <c r="B653" i="9"/>
  <c r="A654" i="9"/>
  <c r="B654" i="9"/>
  <c r="A655" i="9"/>
  <c r="B655" i="9"/>
  <c r="A656" i="9"/>
  <c r="B656" i="9"/>
  <c r="A657" i="9"/>
  <c r="B657" i="9"/>
  <c r="A658" i="9"/>
  <c r="B658" i="9"/>
  <c r="A659" i="9"/>
  <c r="B659" i="9"/>
  <c r="A660" i="9"/>
  <c r="B660" i="9"/>
  <c r="A661" i="9"/>
  <c r="B661" i="9"/>
  <c r="A662" i="9"/>
  <c r="B662" i="9"/>
  <c r="A663" i="9"/>
  <c r="B663" i="9"/>
  <c r="A664" i="9"/>
  <c r="B664" i="9"/>
  <c r="A665" i="9"/>
  <c r="B665" i="9"/>
  <c r="A666" i="9"/>
  <c r="B666" i="9"/>
  <c r="A667" i="9"/>
  <c r="B667" i="9"/>
  <c r="A668" i="9"/>
  <c r="B668" i="9"/>
  <c r="A669" i="9"/>
  <c r="B669" i="9"/>
  <c r="A670" i="9"/>
  <c r="B670" i="9"/>
  <c r="A671" i="9"/>
  <c r="B671" i="9"/>
  <c r="A672" i="9"/>
  <c r="B672" i="9"/>
  <c r="A673" i="9"/>
  <c r="B673" i="9"/>
  <c r="A674" i="9"/>
  <c r="B674" i="9"/>
  <c r="A675" i="9"/>
  <c r="B675" i="9"/>
  <c r="A676" i="9"/>
  <c r="B676" i="9"/>
  <c r="A677" i="9"/>
  <c r="B677" i="9"/>
  <c r="A678" i="9"/>
  <c r="B678" i="9"/>
  <c r="A679" i="9"/>
  <c r="B679" i="9"/>
  <c r="A680" i="9"/>
  <c r="B680" i="9"/>
  <c r="A681" i="9"/>
  <c r="B681" i="9"/>
  <c r="A682" i="9"/>
  <c r="B682" i="9"/>
  <c r="A683" i="9"/>
  <c r="B683" i="9"/>
  <c r="A684" i="9"/>
  <c r="B684" i="9"/>
  <c r="A685" i="9"/>
  <c r="B685" i="9"/>
  <c r="A686" i="9"/>
  <c r="B686" i="9"/>
  <c r="A687" i="9"/>
  <c r="B687" i="9"/>
  <c r="A688" i="9"/>
  <c r="B688" i="9"/>
  <c r="A689" i="9"/>
  <c r="B689" i="9"/>
  <c r="A690" i="9"/>
  <c r="B690" i="9"/>
  <c r="A691" i="9"/>
  <c r="B691" i="9"/>
  <c r="A692" i="9"/>
  <c r="B692" i="9"/>
  <c r="A693" i="9"/>
  <c r="B693" i="9"/>
  <c r="A694" i="9"/>
  <c r="B694" i="9"/>
  <c r="A695" i="9"/>
  <c r="B695" i="9"/>
  <c r="A696" i="9"/>
  <c r="B696" i="9"/>
  <c r="A697" i="9"/>
  <c r="B697" i="9"/>
  <c r="A698" i="9"/>
  <c r="B698" i="9"/>
  <c r="A699" i="9"/>
  <c r="B699" i="9"/>
  <c r="A700" i="9"/>
  <c r="B700" i="9"/>
  <c r="A701" i="9"/>
  <c r="B701" i="9"/>
  <c r="A702" i="9"/>
  <c r="B702" i="9"/>
  <c r="A703" i="9"/>
  <c r="B703" i="9"/>
  <c r="A704" i="9"/>
  <c r="B704" i="9"/>
  <c r="A705" i="9"/>
  <c r="B705" i="9"/>
  <c r="A706" i="9"/>
  <c r="B706" i="9"/>
  <c r="A707" i="9"/>
  <c r="B707" i="9"/>
  <c r="A708" i="9"/>
  <c r="B708" i="9"/>
  <c r="A709" i="9"/>
  <c r="B709" i="9"/>
  <c r="A710" i="9"/>
  <c r="B710" i="9"/>
  <c r="A711" i="9"/>
  <c r="B711" i="9"/>
  <c r="A712" i="9"/>
  <c r="B712" i="9"/>
  <c r="A713" i="9"/>
  <c r="B713" i="9"/>
  <c r="A714" i="9"/>
  <c r="B714" i="9"/>
  <c r="A715" i="9"/>
  <c r="B715" i="9"/>
  <c r="A716" i="9"/>
  <c r="B716" i="9"/>
  <c r="A717" i="9"/>
  <c r="B717" i="9"/>
  <c r="A718" i="9"/>
  <c r="B718" i="9"/>
  <c r="A719" i="9"/>
  <c r="B719" i="9"/>
  <c r="A720" i="9"/>
  <c r="B720" i="9"/>
  <c r="A721" i="9"/>
  <c r="B721" i="9"/>
  <c r="A722" i="9"/>
  <c r="B722" i="9"/>
  <c r="A723" i="9"/>
  <c r="B723" i="9"/>
  <c r="A724" i="9"/>
  <c r="B724" i="9"/>
  <c r="A725" i="9"/>
  <c r="B725" i="9"/>
  <c r="A726" i="9"/>
  <c r="B726" i="9"/>
  <c r="A727" i="9"/>
  <c r="B727" i="9"/>
  <c r="A728" i="9"/>
  <c r="B728" i="9"/>
  <c r="A729" i="9"/>
  <c r="B729" i="9"/>
  <c r="A730" i="9"/>
  <c r="B730" i="9"/>
  <c r="A731" i="9"/>
  <c r="B731" i="9"/>
  <c r="A732" i="9"/>
  <c r="B732" i="9"/>
  <c r="A733" i="9"/>
  <c r="B733" i="9"/>
  <c r="A734" i="9"/>
  <c r="B734" i="9"/>
  <c r="A735" i="9"/>
  <c r="B735" i="9"/>
  <c r="A736" i="9"/>
  <c r="B736" i="9"/>
  <c r="A737" i="9"/>
  <c r="B737" i="9"/>
  <c r="A738" i="9"/>
  <c r="B738" i="9"/>
  <c r="A739" i="9"/>
  <c r="B739" i="9"/>
  <c r="A740" i="9"/>
  <c r="B740" i="9"/>
  <c r="A741" i="9"/>
  <c r="B741" i="9"/>
  <c r="A742" i="9"/>
  <c r="B742" i="9"/>
  <c r="A743" i="9"/>
  <c r="B743" i="9"/>
  <c r="A744" i="9"/>
  <c r="B744" i="9"/>
  <c r="A745" i="9"/>
  <c r="B745" i="9"/>
  <c r="A746" i="9"/>
  <c r="B746" i="9"/>
  <c r="A747" i="9"/>
  <c r="B747" i="9"/>
  <c r="A748" i="9"/>
  <c r="B748" i="9"/>
  <c r="A749" i="9"/>
  <c r="B749" i="9"/>
  <c r="A750" i="9"/>
  <c r="B750" i="9"/>
  <c r="A751" i="9"/>
  <c r="B751" i="9"/>
  <c r="A752" i="9"/>
  <c r="B752" i="9"/>
  <c r="A753" i="9"/>
  <c r="B753" i="9"/>
  <c r="A754" i="9"/>
  <c r="B754" i="9"/>
  <c r="A755" i="9"/>
  <c r="B755" i="9"/>
  <c r="A756" i="9"/>
  <c r="B756" i="9"/>
  <c r="A757" i="9"/>
  <c r="B757" i="9"/>
  <c r="A758" i="9"/>
  <c r="B758" i="9"/>
  <c r="A759" i="9"/>
  <c r="B759" i="9"/>
  <c r="A760" i="9"/>
  <c r="B760" i="9"/>
  <c r="A761" i="9"/>
  <c r="B761" i="9"/>
  <c r="A762" i="9"/>
  <c r="B762" i="9"/>
  <c r="A763" i="9"/>
  <c r="B763" i="9"/>
  <c r="A764" i="9"/>
  <c r="B764" i="9"/>
  <c r="A765" i="9"/>
  <c r="B765" i="9"/>
  <c r="A766" i="9"/>
  <c r="B766" i="9"/>
  <c r="A767" i="9"/>
  <c r="B767" i="9"/>
  <c r="A768" i="9"/>
  <c r="B768" i="9"/>
  <c r="A769" i="9"/>
  <c r="B769" i="9"/>
  <c r="A770" i="9"/>
  <c r="B770" i="9"/>
  <c r="A771" i="9"/>
  <c r="B771" i="9"/>
  <c r="A772" i="9"/>
  <c r="B772" i="9"/>
  <c r="A773" i="9"/>
  <c r="B773" i="9"/>
  <c r="A774" i="9"/>
  <c r="B774" i="9"/>
  <c r="A775" i="9"/>
  <c r="B775" i="9"/>
  <c r="A776" i="9"/>
  <c r="B776" i="9"/>
  <c r="A777" i="9"/>
  <c r="B777" i="9"/>
  <c r="A778" i="9"/>
  <c r="B778" i="9"/>
  <c r="A779" i="9"/>
  <c r="B779" i="9"/>
  <c r="A780" i="9"/>
  <c r="B780" i="9"/>
  <c r="A781" i="9"/>
  <c r="B781" i="9"/>
  <c r="A782" i="9"/>
  <c r="B782" i="9"/>
  <c r="A783" i="9"/>
  <c r="B783" i="9"/>
  <c r="A784" i="9"/>
  <c r="B784" i="9"/>
  <c r="A785" i="9"/>
  <c r="B785" i="9"/>
  <c r="A786" i="9"/>
  <c r="B786" i="9"/>
  <c r="A787" i="9"/>
  <c r="B787" i="9"/>
  <c r="A788" i="9"/>
  <c r="B788" i="9"/>
  <c r="A789" i="9"/>
  <c r="B789" i="9"/>
  <c r="A790" i="9"/>
  <c r="B790" i="9"/>
  <c r="A791" i="9"/>
  <c r="B791" i="9"/>
  <c r="A792" i="9"/>
  <c r="B792" i="9"/>
  <c r="A793" i="9"/>
  <c r="B793" i="9"/>
  <c r="A794" i="9"/>
  <c r="B794" i="9"/>
  <c r="A795" i="9"/>
  <c r="B795" i="9"/>
  <c r="A796" i="9"/>
  <c r="B796" i="9"/>
  <c r="A797" i="9"/>
  <c r="B797" i="9"/>
  <c r="A798" i="9"/>
  <c r="B798" i="9"/>
  <c r="A799" i="9"/>
  <c r="B799" i="9"/>
  <c r="A800" i="9"/>
  <c r="B800" i="9"/>
  <c r="A801" i="9"/>
  <c r="B801" i="9"/>
  <c r="A802" i="9"/>
  <c r="B802" i="9"/>
  <c r="A803" i="9"/>
  <c r="B803" i="9"/>
  <c r="A804" i="9"/>
  <c r="B804" i="9"/>
  <c r="A805" i="9"/>
  <c r="B805" i="9"/>
  <c r="A806" i="9"/>
  <c r="B806" i="9"/>
  <c r="A807" i="9"/>
  <c r="B807" i="9"/>
  <c r="A808" i="9"/>
  <c r="B808" i="9"/>
  <c r="A809" i="9"/>
  <c r="B809" i="9"/>
  <c r="A810" i="9"/>
  <c r="B810" i="9"/>
  <c r="A811" i="9"/>
  <c r="B811" i="9"/>
  <c r="A812" i="9"/>
  <c r="B812" i="9"/>
  <c r="A813" i="9"/>
  <c r="B813" i="9"/>
  <c r="A814" i="9"/>
  <c r="B814" i="9"/>
  <c r="A815" i="9"/>
  <c r="B815" i="9"/>
  <c r="A816" i="9"/>
  <c r="B816" i="9"/>
  <c r="A817" i="9"/>
  <c r="B817" i="9"/>
  <c r="A818" i="9"/>
  <c r="B818" i="9"/>
  <c r="A819" i="9"/>
  <c r="B819" i="9"/>
  <c r="A820" i="9"/>
  <c r="B820" i="9"/>
  <c r="A821" i="9"/>
  <c r="B821" i="9"/>
  <c r="A822" i="9"/>
  <c r="B822" i="9"/>
  <c r="A823" i="9"/>
  <c r="B823" i="9"/>
  <c r="A824" i="9"/>
  <c r="B824" i="9"/>
  <c r="A825" i="9"/>
  <c r="B825" i="9"/>
  <c r="A826" i="9"/>
  <c r="B826" i="9"/>
  <c r="A827" i="9"/>
  <c r="B827" i="9"/>
  <c r="A828" i="9"/>
  <c r="B828" i="9"/>
  <c r="A829" i="9"/>
  <c r="B829" i="9"/>
  <c r="A830" i="9"/>
  <c r="B830" i="9"/>
  <c r="A831" i="9"/>
  <c r="B831" i="9"/>
  <c r="A832" i="9"/>
  <c r="B832" i="9"/>
  <c r="A833" i="9"/>
  <c r="B833" i="9"/>
  <c r="A834" i="9"/>
  <c r="B834" i="9"/>
  <c r="A835" i="9"/>
  <c r="B835" i="9"/>
  <c r="A836" i="9"/>
  <c r="B836" i="9"/>
  <c r="A837" i="9"/>
  <c r="B837" i="9"/>
  <c r="A838" i="9"/>
  <c r="B838" i="9"/>
  <c r="A839" i="9"/>
  <c r="B839" i="9"/>
  <c r="A840" i="9"/>
  <c r="B840" i="9"/>
  <c r="A841" i="9"/>
  <c r="B841" i="9"/>
  <c r="A842" i="9"/>
  <c r="B842" i="9"/>
  <c r="A843" i="9"/>
  <c r="B843" i="9"/>
  <c r="A844" i="9"/>
  <c r="B844" i="9"/>
  <c r="A845" i="9"/>
  <c r="B845" i="9"/>
  <c r="A846" i="9"/>
  <c r="B846" i="9"/>
  <c r="A847" i="9"/>
  <c r="B847" i="9"/>
  <c r="A848" i="9"/>
  <c r="B848" i="9"/>
  <c r="A849" i="9"/>
  <c r="B849" i="9"/>
  <c r="A850" i="9"/>
  <c r="B850" i="9"/>
  <c r="A851" i="9"/>
  <c r="B851" i="9"/>
  <c r="A852" i="9"/>
  <c r="B852" i="9"/>
  <c r="A853" i="9"/>
  <c r="B853" i="9"/>
  <c r="A854" i="9"/>
  <c r="B854" i="9"/>
  <c r="A855" i="9"/>
  <c r="B855" i="9"/>
  <c r="A856" i="9"/>
  <c r="B856" i="9"/>
  <c r="A857" i="9"/>
  <c r="B857" i="9"/>
  <c r="A858" i="9"/>
  <c r="B858" i="9"/>
  <c r="A859" i="9"/>
  <c r="B859" i="9"/>
  <c r="A860" i="9"/>
  <c r="B860" i="9"/>
  <c r="A861" i="9"/>
  <c r="B861" i="9"/>
  <c r="A862" i="9"/>
  <c r="B862" i="9"/>
  <c r="A863" i="9"/>
  <c r="B863" i="9"/>
  <c r="A864" i="9"/>
  <c r="B864" i="9"/>
  <c r="A865" i="9"/>
  <c r="B865" i="9"/>
  <c r="A866" i="9"/>
  <c r="B866" i="9"/>
  <c r="A867" i="9"/>
  <c r="B867" i="9"/>
  <c r="A868" i="9"/>
  <c r="B868" i="9"/>
  <c r="A869" i="9"/>
  <c r="B869" i="9"/>
  <c r="A870" i="9"/>
  <c r="B870" i="9"/>
  <c r="A871" i="9"/>
  <c r="B871" i="9"/>
  <c r="A872" i="9"/>
  <c r="B872" i="9"/>
  <c r="A873" i="9"/>
  <c r="B873" i="9"/>
  <c r="A874" i="9"/>
  <c r="B874" i="9"/>
  <c r="A875" i="9"/>
  <c r="B875" i="9"/>
  <c r="A876" i="9"/>
  <c r="B876" i="9"/>
  <c r="A877" i="9"/>
  <c r="B877" i="9"/>
  <c r="A878" i="9"/>
  <c r="B878" i="9"/>
  <c r="A879" i="9"/>
  <c r="B879" i="9"/>
  <c r="A880" i="9"/>
  <c r="B880" i="9"/>
  <c r="A881" i="9"/>
  <c r="B881" i="9"/>
  <c r="A882" i="9"/>
  <c r="B882" i="9"/>
  <c r="A883" i="9"/>
  <c r="B883" i="9"/>
  <c r="A884" i="9"/>
  <c r="B884" i="9"/>
  <c r="A885" i="9"/>
  <c r="B885" i="9"/>
  <c r="A886" i="9"/>
  <c r="B886" i="9"/>
  <c r="A887" i="9"/>
  <c r="B887" i="9"/>
  <c r="A888" i="9"/>
  <c r="B888" i="9"/>
  <c r="A889" i="9"/>
  <c r="B889" i="9"/>
  <c r="A890" i="9"/>
  <c r="B890" i="9"/>
  <c r="A891" i="9"/>
  <c r="B891" i="9"/>
  <c r="A892" i="9"/>
  <c r="B892" i="9"/>
  <c r="A893" i="9"/>
  <c r="B893" i="9"/>
  <c r="A894" i="9"/>
  <c r="B894" i="9"/>
  <c r="A895" i="9"/>
  <c r="B895" i="9"/>
  <c r="A896" i="9"/>
  <c r="B896" i="9"/>
  <c r="A897" i="9"/>
  <c r="B897" i="9"/>
  <c r="A898" i="9"/>
  <c r="B898" i="9"/>
  <c r="A899" i="9"/>
  <c r="B899" i="9"/>
  <c r="A900" i="9"/>
  <c r="B900" i="9"/>
  <c r="A901" i="9"/>
  <c r="B901" i="9"/>
  <c r="A902" i="9"/>
  <c r="B902" i="9"/>
  <c r="A903" i="9"/>
  <c r="B903" i="9"/>
  <c r="A904" i="9"/>
  <c r="B904" i="9"/>
  <c r="A905" i="9"/>
  <c r="B905" i="9"/>
  <c r="A906" i="9"/>
  <c r="B906" i="9"/>
  <c r="A907" i="9"/>
  <c r="B907" i="9"/>
  <c r="A908" i="9"/>
  <c r="B908" i="9"/>
  <c r="A909" i="9"/>
  <c r="B909" i="9"/>
  <c r="A910" i="9"/>
  <c r="B910" i="9"/>
  <c r="A911" i="9"/>
  <c r="B911" i="9"/>
  <c r="A912" i="9"/>
  <c r="B912" i="9"/>
  <c r="A913" i="9"/>
  <c r="B913" i="9"/>
  <c r="A914" i="9"/>
  <c r="B914" i="9"/>
  <c r="A915" i="9"/>
  <c r="B915" i="9"/>
  <c r="A916" i="9"/>
  <c r="B916" i="9"/>
  <c r="A917" i="9"/>
  <c r="B917" i="9"/>
  <c r="A918" i="9"/>
  <c r="B918" i="9"/>
  <c r="A919" i="9"/>
  <c r="B919" i="9"/>
  <c r="A920" i="9"/>
  <c r="B920" i="9"/>
  <c r="A921" i="9"/>
  <c r="B921" i="9"/>
  <c r="A922" i="9"/>
  <c r="B922" i="9"/>
  <c r="A923" i="9"/>
  <c r="B923" i="9"/>
  <c r="A924" i="9"/>
  <c r="B924" i="9"/>
  <c r="A925" i="9"/>
  <c r="B925" i="9"/>
  <c r="A926" i="9"/>
  <c r="B926" i="9"/>
  <c r="A927" i="9"/>
  <c r="B927" i="9"/>
  <c r="A928" i="9"/>
  <c r="B928" i="9"/>
  <c r="A929" i="9"/>
  <c r="B929" i="9"/>
  <c r="A930" i="9"/>
  <c r="B930" i="9"/>
  <c r="A931" i="9"/>
  <c r="B931" i="9"/>
  <c r="A932" i="9"/>
  <c r="B932" i="9"/>
  <c r="A933" i="9"/>
  <c r="B933" i="9"/>
  <c r="A934" i="9"/>
  <c r="B934" i="9"/>
  <c r="A935" i="9"/>
  <c r="B935" i="9"/>
  <c r="A936" i="9"/>
  <c r="B936" i="9"/>
  <c r="A937" i="9"/>
  <c r="B937" i="9"/>
  <c r="A938" i="9"/>
  <c r="B938" i="9"/>
  <c r="A939" i="9"/>
  <c r="B939" i="9"/>
  <c r="A940" i="9"/>
  <c r="B940" i="9"/>
  <c r="A941" i="9"/>
  <c r="B941" i="9"/>
  <c r="A942" i="9"/>
  <c r="B942" i="9"/>
  <c r="A943" i="9"/>
  <c r="B943" i="9"/>
  <c r="A944" i="9"/>
  <c r="B944" i="9"/>
  <c r="A945" i="9"/>
  <c r="B945" i="9"/>
  <c r="A946" i="9"/>
  <c r="B946" i="9"/>
  <c r="A947" i="9"/>
  <c r="B947" i="9"/>
  <c r="A948" i="9"/>
  <c r="B948" i="9"/>
  <c r="A949" i="9"/>
  <c r="B949" i="9"/>
  <c r="A950" i="9"/>
  <c r="B950" i="9"/>
  <c r="A951" i="9"/>
  <c r="B951" i="9"/>
  <c r="A952" i="9"/>
  <c r="B952" i="9"/>
  <c r="A953" i="9"/>
  <c r="B953" i="9"/>
  <c r="A954" i="9"/>
  <c r="B954" i="9"/>
  <c r="A955" i="9"/>
  <c r="B955" i="9"/>
  <c r="A956" i="9"/>
  <c r="B956" i="9"/>
  <c r="A957" i="9"/>
  <c r="B957" i="9"/>
  <c r="A958" i="9"/>
  <c r="B958" i="9"/>
  <c r="A959" i="9"/>
  <c r="B959" i="9"/>
  <c r="A960" i="9"/>
  <c r="B960" i="9"/>
  <c r="A961" i="9"/>
  <c r="B961" i="9"/>
  <c r="A962" i="9"/>
  <c r="B962" i="9"/>
  <c r="A963" i="9"/>
  <c r="B963" i="9"/>
  <c r="A964" i="9"/>
  <c r="B964" i="9"/>
  <c r="A965" i="9"/>
  <c r="B965" i="9"/>
  <c r="A966" i="9"/>
  <c r="B966" i="9"/>
  <c r="A967" i="9"/>
  <c r="B967" i="9"/>
  <c r="A968" i="9"/>
  <c r="B968" i="9"/>
  <c r="A969" i="9"/>
  <c r="B969" i="9"/>
  <c r="A970" i="9"/>
  <c r="B970" i="9"/>
  <c r="A971" i="9"/>
  <c r="B971" i="9"/>
  <c r="A972" i="9"/>
  <c r="B972" i="9"/>
  <c r="A973" i="9"/>
  <c r="B973" i="9"/>
  <c r="A974" i="9"/>
  <c r="B974" i="9"/>
  <c r="A975" i="9"/>
  <c r="B975" i="9"/>
  <c r="A976" i="9"/>
  <c r="B976" i="9"/>
  <c r="A977" i="9"/>
  <c r="B977" i="9"/>
  <c r="A978" i="9"/>
  <c r="B978" i="9"/>
  <c r="A979" i="9"/>
  <c r="B979" i="9"/>
  <c r="A980" i="9"/>
  <c r="B980" i="9"/>
  <c r="A981" i="9"/>
  <c r="B981" i="9"/>
  <c r="A982" i="9"/>
  <c r="B982" i="9"/>
  <c r="A983" i="9"/>
  <c r="B983" i="9"/>
  <c r="A984" i="9"/>
  <c r="B984" i="9"/>
  <c r="A985" i="9"/>
  <c r="B985" i="9"/>
  <c r="A986" i="9"/>
  <c r="B986" i="9"/>
  <c r="A987" i="9"/>
  <c r="B987" i="9"/>
  <c r="A988" i="9"/>
  <c r="B988" i="9"/>
  <c r="A989" i="9"/>
  <c r="B989" i="9"/>
  <c r="A990" i="9"/>
  <c r="B990" i="9"/>
  <c r="A991" i="9"/>
  <c r="B991" i="9"/>
  <c r="A992" i="9"/>
  <c r="B992" i="9"/>
  <c r="A993" i="9"/>
  <c r="B993" i="9"/>
  <c r="A994" i="9"/>
  <c r="B994" i="9"/>
  <c r="A995" i="9"/>
  <c r="B995" i="9"/>
  <c r="A996" i="9"/>
  <c r="B996" i="9"/>
  <c r="A997" i="9"/>
  <c r="B997" i="9"/>
  <c r="A998" i="9"/>
  <c r="B998" i="9"/>
  <c r="A999" i="9"/>
  <c r="B999" i="9"/>
  <c r="A1000" i="9"/>
  <c r="B1000" i="9"/>
  <c r="A1001" i="9"/>
  <c r="B1001" i="9"/>
  <c r="A1002" i="9"/>
  <c r="B1002" i="9"/>
  <c r="A1003" i="9"/>
  <c r="B1003" i="9"/>
  <c r="A1004" i="9"/>
  <c r="B1004" i="9"/>
  <c r="A1005" i="9"/>
  <c r="B1005" i="9"/>
  <c r="A1006" i="9"/>
  <c r="B1006" i="9"/>
  <c r="A1007" i="9"/>
  <c r="B1007" i="9"/>
  <c r="A1008" i="9"/>
  <c r="B1008" i="9"/>
  <c r="A1009" i="9"/>
  <c r="B1009" i="9"/>
  <c r="A1010" i="9"/>
  <c r="B1010" i="9"/>
  <c r="A1011" i="9"/>
  <c r="B1011" i="9"/>
  <c r="A1012" i="9"/>
  <c r="B1012" i="9"/>
  <c r="A1013" i="9"/>
  <c r="B1013" i="9"/>
  <c r="A1014" i="9"/>
  <c r="B1014" i="9"/>
  <c r="A1015" i="9"/>
  <c r="B1015" i="9"/>
  <c r="A1016" i="9"/>
  <c r="B1016" i="9"/>
  <c r="A1017" i="9"/>
  <c r="B1017" i="9"/>
  <c r="A1018" i="9"/>
  <c r="B1018" i="9"/>
  <c r="A1019" i="9"/>
  <c r="B1019" i="9"/>
  <c r="A1020" i="9"/>
  <c r="B1020" i="9"/>
  <c r="A1021" i="9"/>
  <c r="B1021" i="9"/>
  <c r="A1022" i="9"/>
  <c r="B1022" i="9"/>
  <c r="A1023" i="9"/>
  <c r="B1023" i="9"/>
  <c r="A1024" i="9"/>
  <c r="B1024" i="9"/>
  <c r="A1025" i="9"/>
  <c r="B1025" i="9"/>
  <c r="A1026" i="9"/>
  <c r="B1026" i="9"/>
  <c r="A1027" i="9"/>
  <c r="B1027" i="9"/>
  <c r="A1028" i="9"/>
  <c r="B1028" i="9"/>
  <c r="A1029" i="9"/>
  <c r="B1029" i="9"/>
  <c r="A1030" i="9"/>
  <c r="B1030" i="9"/>
  <c r="A1031" i="9"/>
  <c r="B1031" i="9"/>
  <c r="A1032" i="9"/>
  <c r="B1032" i="9"/>
  <c r="A1033" i="9"/>
  <c r="B1033" i="9"/>
  <c r="A1034" i="9"/>
  <c r="B1034" i="9"/>
  <c r="A1035" i="9"/>
  <c r="B1035" i="9"/>
  <c r="A1036" i="9"/>
  <c r="B1036" i="9"/>
  <c r="A1037" i="9"/>
  <c r="B1037" i="9"/>
  <c r="A1038" i="9"/>
  <c r="B1038" i="9"/>
  <c r="A1039" i="9"/>
  <c r="B1039" i="9"/>
  <c r="A1040" i="9"/>
  <c r="B1040" i="9"/>
  <c r="A1041" i="9"/>
  <c r="B1041" i="9"/>
  <c r="A1042" i="9"/>
  <c r="B1042" i="9"/>
  <c r="A1043" i="9"/>
  <c r="B1043" i="9"/>
  <c r="A1044" i="9"/>
  <c r="B1044" i="9"/>
  <c r="A1045" i="9"/>
  <c r="B1045" i="9"/>
  <c r="A1046" i="9"/>
  <c r="B1046" i="9"/>
  <c r="A1047" i="9"/>
  <c r="B1047" i="9"/>
  <c r="A1048" i="9"/>
  <c r="B1048" i="9"/>
  <c r="A1049" i="9"/>
  <c r="B1049" i="9"/>
  <c r="A1050" i="9"/>
  <c r="B1050" i="9"/>
  <c r="A1051" i="9"/>
  <c r="B1051" i="9"/>
  <c r="A1052" i="9"/>
  <c r="B1052" i="9"/>
  <c r="A1053" i="9"/>
  <c r="B1053" i="9"/>
  <c r="A1054" i="9"/>
  <c r="B1054" i="9"/>
  <c r="A1055" i="9"/>
  <c r="B1055" i="9"/>
  <c r="A1056" i="9"/>
  <c r="B1056" i="9"/>
  <c r="A1057" i="9"/>
  <c r="B1057" i="9"/>
  <c r="A1058" i="9"/>
  <c r="B1058" i="9"/>
  <c r="A1059" i="9"/>
  <c r="B1059" i="9"/>
  <c r="A1060" i="9"/>
  <c r="B1060" i="9"/>
  <c r="A1061" i="9"/>
  <c r="B1061" i="9"/>
  <c r="A1062" i="9"/>
  <c r="B1062" i="9"/>
  <c r="A1063" i="9"/>
  <c r="B1063" i="9"/>
  <c r="A1064" i="9"/>
  <c r="B1064" i="9"/>
  <c r="A1065" i="9"/>
  <c r="B1065" i="9"/>
  <c r="A1066" i="9"/>
  <c r="B1066" i="9"/>
  <c r="A1067" i="9"/>
  <c r="B1067" i="9"/>
  <c r="A1068" i="9"/>
  <c r="B1068" i="9"/>
  <c r="A1069" i="9"/>
  <c r="B1069" i="9"/>
  <c r="A1070" i="9"/>
  <c r="B1070" i="9"/>
  <c r="A1071" i="9"/>
  <c r="B1071" i="9"/>
  <c r="A1072" i="9"/>
  <c r="B1072" i="9"/>
  <c r="A1073" i="9"/>
  <c r="B1073" i="9"/>
  <c r="A1074" i="9"/>
  <c r="B1074" i="9"/>
  <c r="A1075" i="9"/>
  <c r="B1075" i="9"/>
  <c r="A1076" i="9"/>
  <c r="B1076" i="9"/>
  <c r="A1077" i="9"/>
  <c r="B1077" i="9"/>
  <c r="A1078" i="9"/>
  <c r="B1078" i="9"/>
  <c r="A1079" i="9"/>
  <c r="B1079" i="9"/>
  <c r="A1080" i="9"/>
  <c r="B1080" i="9"/>
  <c r="A1081" i="9"/>
  <c r="B1081" i="9"/>
  <c r="A1082" i="9"/>
  <c r="B1082" i="9"/>
  <c r="A1083" i="9"/>
  <c r="B1083" i="9"/>
  <c r="A1084" i="9"/>
  <c r="B1084" i="9"/>
  <c r="A1085" i="9"/>
  <c r="B1085" i="9"/>
  <c r="A1086" i="9"/>
  <c r="B1086" i="9"/>
  <c r="A1087" i="9"/>
  <c r="B1087" i="9"/>
  <c r="A1088" i="9"/>
  <c r="B1088" i="9"/>
  <c r="A1089" i="9"/>
  <c r="B1089" i="9"/>
  <c r="A1090" i="9"/>
  <c r="B1090" i="9"/>
  <c r="A1091" i="9"/>
  <c r="B1091" i="9"/>
  <c r="A1092" i="9"/>
  <c r="B1092" i="9"/>
  <c r="A1093" i="9"/>
  <c r="B1093" i="9"/>
  <c r="A1094" i="9"/>
  <c r="B1094" i="9"/>
  <c r="A1095" i="9"/>
  <c r="B1095" i="9"/>
  <c r="A1096" i="9"/>
  <c r="B1096" i="9"/>
  <c r="A1097" i="9"/>
  <c r="B1097" i="9"/>
  <c r="A1098" i="9"/>
  <c r="B1098" i="9"/>
  <c r="A1099" i="9"/>
  <c r="B1099" i="9"/>
  <c r="A1100" i="9"/>
  <c r="B1100" i="9"/>
  <c r="A1101" i="9"/>
  <c r="B1101" i="9"/>
  <c r="A1102" i="9"/>
  <c r="B1102" i="9"/>
  <c r="A1103" i="9"/>
  <c r="B1103" i="9"/>
  <c r="A1104" i="9"/>
  <c r="B1104" i="9"/>
  <c r="A1105" i="9"/>
  <c r="B1105" i="9"/>
  <c r="A1106" i="9"/>
  <c r="B1106" i="9"/>
  <c r="A1107" i="9"/>
  <c r="B1107" i="9"/>
  <c r="A1108" i="9"/>
  <c r="B1108" i="9"/>
  <c r="A1109" i="9"/>
  <c r="B1109" i="9"/>
  <c r="A1110" i="9"/>
  <c r="B1110" i="9"/>
  <c r="A1111" i="9"/>
  <c r="B1111" i="9"/>
  <c r="A1112" i="9"/>
  <c r="B1112" i="9"/>
  <c r="A1113" i="9"/>
  <c r="B1113" i="9"/>
  <c r="A1114" i="9"/>
  <c r="B1114" i="9"/>
  <c r="A1115" i="9"/>
  <c r="B1115" i="9"/>
  <c r="A1116" i="9"/>
  <c r="B1116" i="9"/>
  <c r="A1117" i="9"/>
  <c r="B1117" i="9"/>
  <c r="A1118" i="9"/>
  <c r="B1118" i="9"/>
  <c r="A1119" i="9"/>
  <c r="B1119" i="9"/>
  <c r="A1120" i="9"/>
  <c r="B1120" i="9"/>
  <c r="A1121" i="9"/>
  <c r="B1121" i="9"/>
  <c r="A1122" i="9"/>
  <c r="B1122" i="9"/>
  <c r="A1123" i="9"/>
  <c r="B1123" i="9"/>
  <c r="A1124" i="9"/>
  <c r="B1124" i="9"/>
  <c r="A1125" i="9"/>
  <c r="B1125" i="9"/>
  <c r="A1126" i="9"/>
  <c r="B1126" i="9"/>
  <c r="A1127" i="9"/>
  <c r="B1127" i="9"/>
  <c r="A1128" i="9"/>
  <c r="B1128" i="9"/>
  <c r="A1129" i="9"/>
  <c r="B1129" i="9"/>
  <c r="A1130" i="9"/>
  <c r="B1130" i="9"/>
  <c r="A1131" i="9"/>
  <c r="B1131" i="9"/>
  <c r="A1132" i="9"/>
  <c r="B1132" i="9"/>
  <c r="A1133" i="9"/>
  <c r="B1133" i="9"/>
  <c r="A1134" i="9"/>
  <c r="B1134" i="9"/>
  <c r="A1135" i="9"/>
  <c r="B1135" i="9"/>
  <c r="A1136" i="9"/>
  <c r="B1136" i="9"/>
  <c r="A1137" i="9"/>
  <c r="B1137" i="9"/>
  <c r="A1138" i="9"/>
  <c r="B1138" i="9"/>
  <c r="A1139" i="9"/>
  <c r="B1139" i="9"/>
  <c r="A1140" i="9"/>
  <c r="B1140" i="9"/>
  <c r="A1141" i="9"/>
  <c r="B1141" i="9"/>
  <c r="A1142" i="9"/>
  <c r="B1142" i="9"/>
  <c r="A1143" i="9"/>
  <c r="B1143" i="9"/>
  <c r="A1144" i="9"/>
  <c r="B1144" i="9"/>
  <c r="A1145" i="9"/>
  <c r="B1145" i="9"/>
  <c r="A1146" i="9"/>
  <c r="B1146" i="9"/>
  <c r="A1147" i="9"/>
  <c r="B1147" i="9"/>
  <c r="A1148" i="9"/>
  <c r="B1148" i="9"/>
  <c r="A1149" i="9"/>
  <c r="B1149" i="9"/>
  <c r="A1150" i="9"/>
  <c r="B1150" i="9"/>
  <c r="A1151" i="9"/>
  <c r="B1151" i="9"/>
  <c r="A1152" i="9"/>
  <c r="B1152" i="9"/>
  <c r="A1153" i="9"/>
  <c r="B1153" i="9"/>
  <c r="A1154" i="9"/>
  <c r="B1154" i="9"/>
  <c r="A1155" i="9"/>
  <c r="B1155" i="9"/>
  <c r="A1156" i="9"/>
  <c r="B1156" i="9"/>
  <c r="A1157" i="9"/>
  <c r="B1157" i="9"/>
  <c r="A1158" i="9"/>
  <c r="B1158" i="9"/>
  <c r="A1159" i="9"/>
  <c r="B1159" i="9"/>
  <c r="A1160" i="9"/>
  <c r="B1160" i="9"/>
  <c r="A1161" i="9"/>
  <c r="B1161" i="9"/>
  <c r="A1162" i="9"/>
  <c r="B1162" i="9"/>
  <c r="A1163" i="9"/>
  <c r="B1163" i="9"/>
  <c r="A1164" i="9"/>
  <c r="B1164" i="9"/>
  <c r="A1165" i="9"/>
  <c r="B1165" i="9"/>
  <c r="A1166" i="9"/>
  <c r="B1166" i="9"/>
  <c r="A1167" i="9"/>
  <c r="B1167" i="9"/>
  <c r="A1168" i="9"/>
  <c r="B1168" i="9"/>
  <c r="A1169" i="9"/>
  <c r="B1169" i="9"/>
  <c r="A1170" i="9"/>
  <c r="B1170" i="9"/>
  <c r="A1171" i="9"/>
  <c r="B1171" i="9"/>
  <c r="A1172" i="9"/>
  <c r="B1172" i="9"/>
  <c r="A1173" i="9"/>
  <c r="B1173" i="9"/>
  <c r="A1174" i="9"/>
  <c r="B1174" i="9"/>
  <c r="A1175" i="9"/>
  <c r="B1175" i="9"/>
  <c r="A1176" i="9"/>
  <c r="B1176" i="9"/>
  <c r="A1177" i="9"/>
  <c r="B1177" i="9"/>
  <c r="A1178" i="9"/>
  <c r="B1178" i="9"/>
  <c r="A1179" i="9"/>
  <c r="B1179" i="9"/>
  <c r="A1180" i="9"/>
  <c r="B1180" i="9"/>
  <c r="A1181" i="9"/>
  <c r="B1181" i="9"/>
  <c r="A1182" i="9"/>
  <c r="B1182" i="9"/>
  <c r="A1183" i="9"/>
  <c r="B1183" i="9"/>
  <c r="A1184" i="9"/>
  <c r="B1184" i="9"/>
  <c r="A1185" i="9"/>
  <c r="B1185" i="9"/>
  <c r="A1186" i="9"/>
  <c r="B1186" i="9"/>
  <c r="A1187" i="9"/>
  <c r="B1187" i="9"/>
  <c r="A1188" i="9"/>
  <c r="B1188" i="9"/>
  <c r="A1189" i="9"/>
  <c r="B1189" i="9"/>
  <c r="A1190" i="9"/>
  <c r="B1190" i="9"/>
  <c r="A1191" i="9"/>
  <c r="B1191" i="9"/>
  <c r="A1192" i="9"/>
  <c r="B1192" i="9"/>
  <c r="A1193" i="9"/>
  <c r="B1193" i="9"/>
  <c r="A1194" i="9"/>
  <c r="B1194" i="9"/>
  <c r="A1195" i="9"/>
  <c r="B1195" i="9"/>
  <c r="A1196" i="9"/>
  <c r="B1196" i="9"/>
  <c r="A1197" i="9"/>
  <c r="B1197" i="9"/>
  <c r="A1198" i="9"/>
  <c r="B1198" i="9"/>
  <c r="A1199" i="9"/>
  <c r="B1199" i="9"/>
  <c r="A1200" i="9"/>
  <c r="B1200" i="9"/>
  <c r="A1201" i="9"/>
  <c r="B1201" i="9"/>
  <c r="A1202" i="9"/>
  <c r="B1202" i="9"/>
  <c r="A1203" i="9"/>
  <c r="B1203" i="9"/>
  <c r="A1204" i="9"/>
  <c r="B1204" i="9"/>
  <c r="A1205" i="9"/>
  <c r="B1205" i="9"/>
  <c r="A1206" i="9"/>
  <c r="B1206" i="9"/>
  <c r="A1207" i="9"/>
  <c r="B1207" i="9"/>
  <c r="A1208" i="9"/>
  <c r="B1208" i="9"/>
  <c r="A1209" i="9"/>
  <c r="B1209" i="9"/>
  <c r="A1210" i="9"/>
  <c r="B1210" i="9"/>
  <c r="A1211" i="9"/>
  <c r="B1211" i="9"/>
  <c r="A1212" i="9"/>
  <c r="B1212" i="9"/>
  <c r="A1213" i="9"/>
  <c r="B1213" i="9"/>
  <c r="A1214" i="9"/>
  <c r="B1214" i="9"/>
  <c r="A1215" i="9"/>
  <c r="B1215" i="9"/>
  <c r="A1216" i="9"/>
  <c r="B1216" i="9"/>
  <c r="A1217" i="9"/>
  <c r="B1217" i="9"/>
  <c r="A1218" i="9"/>
  <c r="B1218" i="9"/>
  <c r="A1219" i="9"/>
  <c r="B1219" i="9"/>
  <c r="A1220" i="9"/>
  <c r="B1220" i="9"/>
  <c r="A1221" i="9"/>
  <c r="B1221" i="9"/>
  <c r="A1222" i="9"/>
  <c r="B1222" i="9"/>
  <c r="A1223" i="9"/>
  <c r="B1223" i="9"/>
  <c r="A1224" i="9"/>
  <c r="B1224" i="9"/>
  <c r="A1225" i="9"/>
  <c r="B1225" i="9"/>
  <c r="A1226" i="9"/>
  <c r="B1226" i="9"/>
  <c r="A1227" i="9"/>
  <c r="B1227" i="9"/>
  <c r="A1228" i="9"/>
  <c r="B1228" i="9"/>
  <c r="A1229" i="9"/>
  <c r="B1229" i="9"/>
  <c r="A1230" i="9"/>
  <c r="B1230" i="9"/>
  <c r="A1231" i="9"/>
  <c r="B1231" i="9"/>
  <c r="A1232" i="9"/>
  <c r="B1232" i="9"/>
  <c r="A1233" i="9"/>
  <c r="B1233" i="9"/>
  <c r="A1234" i="9"/>
  <c r="B1234" i="9"/>
  <c r="A1235" i="9"/>
  <c r="B1235" i="9"/>
  <c r="A1236" i="9"/>
  <c r="B1236" i="9"/>
  <c r="A1237" i="9"/>
  <c r="B1237" i="9"/>
  <c r="A1238" i="9"/>
  <c r="B1238" i="9"/>
  <c r="A1239" i="9"/>
  <c r="B1239" i="9"/>
  <c r="A1240" i="9"/>
  <c r="B1240" i="9"/>
  <c r="A1241" i="9"/>
  <c r="B1241" i="9"/>
  <c r="A1242" i="9"/>
  <c r="B1242" i="9"/>
  <c r="A1243" i="9"/>
  <c r="B1243" i="9"/>
  <c r="A1244" i="9"/>
  <c r="B1244" i="9"/>
  <c r="A1245" i="9"/>
  <c r="B1245" i="9"/>
  <c r="A1246" i="9"/>
  <c r="B1246" i="9"/>
  <c r="A1247" i="9"/>
  <c r="B1247" i="9"/>
  <c r="A1248" i="9"/>
  <c r="B1248" i="9"/>
  <c r="A1249" i="9"/>
  <c r="B1249" i="9"/>
  <c r="A1250" i="9"/>
  <c r="B1250" i="9"/>
  <c r="A1251" i="9"/>
  <c r="B1251" i="9"/>
  <c r="A1252" i="9"/>
  <c r="B1252" i="9"/>
  <c r="A1253" i="9"/>
  <c r="B1253" i="9"/>
  <c r="A1254" i="9"/>
  <c r="B1254" i="9"/>
  <c r="A1255" i="9"/>
  <c r="B1255" i="9"/>
  <c r="A1256" i="9"/>
  <c r="B1256" i="9"/>
  <c r="A1257" i="9"/>
  <c r="B1257" i="9"/>
  <c r="A1258" i="9"/>
  <c r="B1258" i="9"/>
  <c r="A1259" i="9"/>
  <c r="B1259" i="9"/>
  <c r="A1260" i="9"/>
  <c r="B1260" i="9"/>
  <c r="A1261" i="9"/>
  <c r="B1261" i="9"/>
  <c r="A1262" i="9"/>
  <c r="B1262" i="9"/>
  <c r="A1263" i="9"/>
  <c r="B1263" i="9"/>
  <c r="A1264" i="9"/>
  <c r="B1264" i="9"/>
  <c r="A1265" i="9"/>
  <c r="B1265" i="9"/>
  <c r="A1266" i="9"/>
  <c r="B1266" i="9"/>
  <c r="A1267" i="9"/>
  <c r="B1267" i="9"/>
  <c r="A1268" i="9"/>
  <c r="B1268" i="9"/>
  <c r="A1269" i="9"/>
  <c r="B1269" i="9"/>
  <c r="A1270" i="9"/>
  <c r="B1270" i="9"/>
  <c r="A1271" i="9"/>
  <c r="B1271" i="9"/>
  <c r="A1272" i="9"/>
  <c r="B1272" i="9"/>
  <c r="A1273" i="9"/>
  <c r="B1273" i="9"/>
  <c r="A1274" i="9"/>
  <c r="B1274" i="9"/>
  <c r="A1275" i="9"/>
  <c r="B1275" i="9"/>
  <c r="A1276" i="9"/>
  <c r="B1276" i="9"/>
  <c r="A1277" i="9"/>
  <c r="B1277" i="9"/>
  <c r="A1278" i="9"/>
  <c r="B1278" i="9"/>
  <c r="A1279" i="9"/>
  <c r="B1279" i="9"/>
  <c r="A1280" i="9"/>
  <c r="B1280" i="9"/>
  <c r="A1281" i="9"/>
  <c r="B1281" i="9"/>
  <c r="A1282" i="9"/>
  <c r="B1282" i="9"/>
  <c r="A1283" i="9"/>
  <c r="B1283" i="9"/>
  <c r="A1284" i="9"/>
  <c r="B1284" i="9"/>
  <c r="A1285" i="9"/>
  <c r="B1285" i="9"/>
  <c r="A1286" i="9"/>
  <c r="B1286" i="9"/>
  <c r="A1287" i="9"/>
  <c r="B1287" i="9"/>
  <c r="A1288" i="9"/>
  <c r="B1288" i="9"/>
  <c r="A1289" i="9"/>
  <c r="B1289" i="9"/>
  <c r="A1290" i="9"/>
  <c r="B1290" i="9"/>
  <c r="A1291" i="9"/>
  <c r="B1291" i="9"/>
  <c r="A1292" i="9"/>
  <c r="B1292" i="9"/>
  <c r="A1293" i="9"/>
  <c r="B1293" i="9"/>
  <c r="A1294" i="9"/>
  <c r="B1294" i="9"/>
  <c r="A1295" i="9"/>
  <c r="B1295" i="9"/>
  <c r="A1296" i="9"/>
  <c r="B1296" i="9"/>
  <c r="A1297" i="9"/>
  <c r="B1297" i="9"/>
  <c r="A1298" i="9"/>
  <c r="B1298" i="9"/>
  <c r="A1299" i="9"/>
  <c r="B1299" i="9"/>
  <c r="A1300" i="9"/>
  <c r="B1300" i="9"/>
  <c r="A1301" i="9"/>
  <c r="B1301" i="9"/>
  <c r="A1302" i="9"/>
  <c r="B1302" i="9"/>
  <c r="A1303" i="9"/>
  <c r="B1303" i="9"/>
  <c r="A1304" i="9"/>
  <c r="B1304" i="9"/>
  <c r="A1305" i="9"/>
  <c r="B1305" i="9"/>
  <c r="A1306" i="9"/>
  <c r="B1306" i="9"/>
  <c r="A1307" i="9"/>
  <c r="B1307" i="9"/>
  <c r="A1308" i="9"/>
  <c r="B1308" i="9"/>
  <c r="A1309" i="9"/>
  <c r="B1309" i="9"/>
  <c r="A1310" i="9"/>
  <c r="B1310" i="9"/>
  <c r="A1311" i="9"/>
  <c r="B1311" i="9"/>
  <c r="A1312" i="9"/>
  <c r="B1312" i="9"/>
  <c r="A1313" i="9"/>
  <c r="B1313" i="9"/>
  <c r="A1314" i="9"/>
  <c r="B1314" i="9"/>
  <c r="A1315" i="9"/>
  <c r="B1315" i="9"/>
  <c r="A1316" i="9"/>
  <c r="B1316" i="9"/>
  <c r="A1317" i="9"/>
  <c r="B1317" i="9"/>
  <c r="A1318" i="9"/>
  <c r="B1318" i="9"/>
  <c r="A1319" i="9"/>
  <c r="B1319" i="9"/>
  <c r="A1320" i="9"/>
  <c r="B1320" i="9"/>
  <c r="A1321" i="9"/>
  <c r="B1321" i="9"/>
  <c r="A1322" i="9"/>
  <c r="B1322" i="9"/>
  <c r="A1323" i="9"/>
  <c r="B1323" i="9"/>
  <c r="A1324" i="9"/>
  <c r="B1324" i="9"/>
  <c r="A1325" i="9"/>
  <c r="B1325" i="9"/>
  <c r="A1326" i="9"/>
  <c r="B1326" i="9"/>
  <c r="A1327" i="9"/>
  <c r="B1327" i="9"/>
  <c r="A1328" i="9"/>
  <c r="B1328" i="9"/>
  <c r="A1329" i="9"/>
  <c r="B1329" i="9"/>
  <c r="A1330" i="9"/>
  <c r="B1330" i="9"/>
  <c r="A1331" i="9"/>
  <c r="B1331" i="9"/>
  <c r="A1332" i="9"/>
  <c r="B1332" i="9"/>
  <c r="A1333" i="9"/>
  <c r="B1333" i="9"/>
  <c r="A1334" i="9"/>
  <c r="B1334" i="9"/>
  <c r="A1335" i="9"/>
  <c r="B1335" i="9"/>
  <c r="A1336" i="9"/>
  <c r="B1336" i="9"/>
  <c r="A1337" i="9"/>
  <c r="B1337" i="9"/>
  <c r="A1338" i="9"/>
  <c r="B1338" i="9"/>
  <c r="A1339" i="9"/>
  <c r="B1339" i="9"/>
  <c r="A1340" i="9"/>
  <c r="B1340" i="9"/>
  <c r="A1341" i="9"/>
  <c r="B1341" i="9"/>
  <c r="A1342" i="9"/>
  <c r="B1342" i="9"/>
  <c r="A1343" i="9"/>
  <c r="B1343" i="9"/>
  <c r="A1344" i="9"/>
  <c r="B1344" i="9"/>
  <c r="A1345" i="9"/>
  <c r="B1345" i="9"/>
  <c r="A1346" i="9"/>
  <c r="B1346" i="9"/>
  <c r="A1347" i="9"/>
  <c r="B1347" i="9"/>
  <c r="A1348" i="9"/>
  <c r="B1348" i="9"/>
  <c r="A1349" i="9"/>
  <c r="B1349" i="9"/>
  <c r="A1350" i="9"/>
  <c r="B1350" i="9"/>
  <c r="A1351" i="9"/>
  <c r="B1351" i="9"/>
  <c r="A1352" i="9"/>
  <c r="B1352" i="9"/>
  <c r="A1353" i="9"/>
  <c r="B1353" i="9"/>
  <c r="A1354" i="9"/>
  <c r="B1354" i="9"/>
  <c r="A1355" i="9"/>
  <c r="B1355" i="9"/>
  <c r="A1356" i="9"/>
  <c r="B1356" i="9"/>
  <c r="A1357" i="9"/>
  <c r="B1357" i="9"/>
  <c r="A1358" i="9"/>
  <c r="B1358" i="9"/>
  <c r="A1359" i="9"/>
  <c r="B1359" i="9"/>
  <c r="A1360" i="9"/>
  <c r="B1360" i="9"/>
  <c r="A1361" i="9"/>
  <c r="B1361" i="9"/>
  <c r="A1362" i="9"/>
  <c r="B1362" i="9"/>
  <c r="A1363" i="9"/>
  <c r="B1363" i="9"/>
  <c r="A1364" i="9"/>
  <c r="B1364" i="9"/>
  <c r="A1365" i="9"/>
  <c r="B1365" i="9"/>
  <c r="A1366" i="9"/>
  <c r="B1366" i="9"/>
  <c r="A1367" i="9"/>
  <c r="B1367" i="9"/>
  <c r="A1368" i="9"/>
  <c r="B1368" i="9"/>
  <c r="A1369" i="9"/>
  <c r="B1369" i="9"/>
  <c r="A1370" i="9"/>
  <c r="B1370" i="9"/>
  <c r="A1371" i="9"/>
  <c r="B1371" i="9"/>
  <c r="A1372" i="9"/>
  <c r="B1372" i="9"/>
  <c r="A1373" i="9"/>
  <c r="B1373" i="9"/>
  <c r="A1374" i="9"/>
  <c r="B1374" i="9"/>
  <c r="A1375" i="9"/>
  <c r="B1375" i="9"/>
  <c r="A1376" i="9"/>
  <c r="B1376" i="9"/>
  <c r="A1377" i="9"/>
  <c r="B1377" i="9"/>
  <c r="A1378" i="9"/>
  <c r="B1378" i="9"/>
  <c r="A1379" i="9"/>
  <c r="B1379" i="9"/>
  <c r="A1380" i="9"/>
  <c r="B1380" i="9"/>
  <c r="A1381" i="9"/>
  <c r="B1381" i="9"/>
  <c r="A1382" i="9"/>
  <c r="B1382" i="9"/>
  <c r="A1383" i="9"/>
  <c r="B1383" i="9"/>
  <c r="A1384" i="9"/>
  <c r="B1384" i="9"/>
  <c r="A1385" i="9"/>
  <c r="B1385" i="9"/>
  <c r="A1386" i="9"/>
  <c r="B1386" i="9"/>
  <c r="A1387" i="9"/>
  <c r="B1387" i="9"/>
  <c r="A1388" i="9"/>
  <c r="B1388" i="9"/>
  <c r="A1389" i="9"/>
  <c r="B1389" i="9"/>
  <c r="A1390" i="9"/>
  <c r="B1390" i="9"/>
  <c r="A1391" i="9"/>
  <c r="B1391" i="9"/>
  <c r="A1392" i="9"/>
  <c r="B1392" i="9"/>
  <c r="A1393" i="9"/>
  <c r="B1393" i="9"/>
  <c r="A1394" i="9"/>
  <c r="B1394" i="9"/>
  <c r="A1395" i="9"/>
  <c r="B1395" i="9"/>
  <c r="A1396" i="9"/>
  <c r="B1396" i="9"/>
  <c r="A1397" i="9"/>
  <c r="B1397" i="9"/>
  <c r="A1398" i="9"/>
  <c r="B1398" i="9"/>
  <c r="A1399" i="9"/>
  <c r="B1399" i="9"/>
  <c r="A1400" i="9"/>
  <c r="B1400" i="9"/>
  <c r="A1401" i="9"/>
  <c r="B1401" i="9"/>
  <c r="A1402" i="9"/>
  <c r="B1402" i="9"/>
  <c r="A1403" i="9"/>
  <c r="B1403" i="9"/>
  <c r="A1404" i="9"/>
  <c r="B1404" i="9"/>
  <c r="A1405" i="9"/>
  <c r="B1405" i="9"/>
  <c r="A1406" i="9"/>
  <c r="B1406" i="9"/>
  <c r="A1407" i="9"/>
  <c r="B1407" i="9"/>
  <c r="A1408" i="9"/>
  <c r="B1408" i="9"/>
  <c r="A1409" i="9"/>
  <c r="B1409" i="9"/>
  <c r="A1410" i="9"/>
  <c r="B1410" i="9"/>
  <c r="A1411" i="9"/>
  <c r="B1411" i="9"/>
  <c r="A1412" i="9"/>
  <c r="B1412" i="9"/>
  <c r="A1413" i="9"/>
  <c r="B1413" i="9"/>
  <c r="A1414" i="9"/>
  <c r="B1414" i="9"/>
  <c r="A1415" i="9"/>
  <c r="B1415" i="9"/>
  <c r="A1416" i="9"/>
  <c r="B1416" i="9"/>
  <c r="A1417" i="9"/>
  <c r="B1417" i="9"/>
  <c r="A1418" i="9"/>
  <c r="B1418" i="9"/>
  <c r="A1419" i="9"/>
  <c r="B1419" i="9"/>
  <c r="A1420" i="9"/>
  <c r="B1420" i="9"/>
  <c r="A1421" i="9"/>
  <c r="B1421" i="9"/>
  <c r="A1422" i="9"/>
  <c r="B1422" i="9"/>
  <c r="A1423" i="9"/>
  <c r="B1423" i="9"/>
  <c r="A1424" i="9"/>
  <c r="B1424" i="9"/>
  <c r="A1425" i="9"/>
  <c r="B1425" i="9"/>
  <c r="A1426" i="9"/>
  <c r="B1426" i="9"/>
  <c r="A1427" i="9"/>
  <c r="B1427" i="9"/>
  <c r="A1428" i="9"/>
  <c r="B1428" i="9"/>
  <c r="A1429" i="9"/>
  <c r="B1429" i="9"/>
  <c r="A1430" i="9"/>
  <c r="B1430" i="9"/>
  <c r="A1431" i="9"/>
  <c r="B1431" i="9"/>
  <c r="A1432" i="9"/>
  <c r="B1432" i="9"/>
  <c r="A1433" i="9"/>
  <c r="B1433" i="9"/>
  <c r="A1434" i="9"/>
  <c r="B1434" i="9"/>
  <c r="A1435" i="9"/>
  <c r="B1435" i="9"/>
  <c r="A1436" i="9"/>
  <c r="B1436" i="9"/>
  <c r="A1437" i="9"/>
  <c r="B1437" i="9"/>
  <c r="A1438" i="9"/>
  <c r="B1438" i="9"/>
  <c r="A1439" i="9"/>
  <c r="B1439" i="9"/>
  <c r="A1440" i="9"/>
  <c r="B1440" i="9"/>
  <c r="A1441" i="9"/>
  <c r="B1441" i="9"/>
  <c r="A1442" i="9"/>
  <c r="B1442" i="9"/>
  <c r="A1443" i="9"/>
  <c r="B1443" i="9"/>
  <c r="A1444" i="9"/>
  <c r="B1444" i="9"/>
  <c r="A1445" i="9"/>
  <c r="B1445" i="9"/>
  <c r="A1446" i="9"/>
  <c r="B1446" i="9"/>
  <c r="A1447" i="9"/>
  <c r="B1447" i="9"/>
  <c r="A1448" i="9"/>
  <c r="B1448" i="9"/>
  <c r="A1449" i="9"/>
  <c r="B1449" i="9"/>
  <c r="A1450" i="9"/>
  <c r="B1450" i="9"/>
  <c r="A1451" i="9"/>
  <c r="B1451" i="9"/>
  <c r="A1452" i="9"/>
  <c r="B1452" i="9"/>
  <c r="A1453" i="9"/>
  <c r="B1453" i="9"/>
  <c r="A1454" i="9"/>
  <c r="B1454" i="9"/>
  <c r="A1455" i="9"/>
  <c r="B1455" i="9"/>
  <c r="A1456" i="9"/>
  <c r="B1456" i="9"/>
  <c r="A1457" i="9"/>
  <c r="B1457" i="9"/>
  <c r="A1458" i="9"/>
  <c r="B1458" i="9"/>
  <c r="A1459" i="9"/>
  <c r="B1459" i="9"/>
  <c r="A1460" i="9"/>
  <c r="B1460" i="9"/>
  <c r="A1461" i="9"/>
  <c r="B1461" i="9"/>
  <c r="A1462" i="9"/>
  <c r="B1462" i="9"/>
  <c r="A1463" i="9"/>
  <c r="B1463" i="9"/>
  <c r="A1464" i="9"/>
  <c r="B1464" i="9"/>
  <c r="A1465" i="9"/>
  <c r="B1465" i="9"/>
  <c r="A1466" i="9"/>
  <c r="B1466" i="9"/>
  <c r="A1467" i="9"/>
  <c r="B1467" i="9"/>
  <c r="A1468" i="9"/>
  <c r="B1468" i="9"/>
  <c r="A1469" i="9"/>
  <c r="B1469" i="9"/>
  <c r="A1470" i="9"/>
  <c r="B1470" i="9"/>
  <c r="A1471" i="9"/>
  <c r="B1471" i="9"/>
  <c r="B2" i="9"/>
  <c r="A2" i="9"/>
  <c r="F4" i="11" l="1"/>
</calcChain>
</file>

<file path=xl/sharedStrings.xml><?xml version="1.0" encoding="utf-8"?>
<sst xmlns="http://schemas.openxmlformats.org/spreadsheetml/2006/main" count="13503" uniqueCount="201">
  <si>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</si>
  <si>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</si>
  <si>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</si>
  <si>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</si>
  <si>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</si>
  <si>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</si>
  <si>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</si>
  <si>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</si>
  <si>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</si>
  <si>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</si>
  <si>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</si>
  <si>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</si>
  <si>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</si>
  <si>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</si>
  <si>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</si>
  <si>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</si>
  <si>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</si>
  <si>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</si>
  <si>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</si>
  <si>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</si>
  <si>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</si>
  <si>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</si>
  <si>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</si>
  <si>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</si>
  <si>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</si>
  <si>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</si>
  <si>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</si>
  <si>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</si>
  <si>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</si>
  <si>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</si>
  <si>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</si>
  <si>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</si>
  <si>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</si>
  <si>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</si>
  <si>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</si>
  <si>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</si>
  <si>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</si>
  <si>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</si>
  <si>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</si>
  <si>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</si>
  <si>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</si>
  <si>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</si>
  <si>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</si>
  <si>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</si>
  <si>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</si>
  <si>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</si>
  <si>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</si>
  <si>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</si>
  <si>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</si>
  <si>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</si>
  <si>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</si>
  <si>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</si>
  <si>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</si>
  <si>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</si>
  <si>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</si>
  <si>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</si>
  <si>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</si>
  <si>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</si>
  <si>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</si>
  <si>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</si>
  <si>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</si>
  <si>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</si>
  <si>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Adecco HR Analytics | Project Workbook</t>
  </si>
  <si>
    <t>Project workspace for the HR Analytics: Case Study dataset. The analysis describes patterns in the supplied dataset; it does not establish causes of attrition.</t>
  </si>
  <si>
    <t>Project question</t>
  </si>
  <si>
    <t>Which employee characteristics are associated with attrition and job satisfaction, and where could management investigate retention improvements?</t>
  </si>
  <si>
    <t>Unit of analysis</t>
  </si>
  <si>
    <t>One row represents one employee.</t>
  </si>
  <si>
    <t>Overall attrition rate</t>
  </si>
  <si>
    <t>Employees marked Attrition = Yes divided by all employee records.</t>
  </si>
  <si>
    <t>Interpretation</t>
  </si>
  <si>
    <t>Results are descriptive associations, not evidence that a characteristic caused an employee to leave.</t>
  </si>
  <si>
    <t>Time limitation</t>
  </si>
  <si>
    <t>The file has no reporting-period field, so we cannot calculate an annual rate or trends over time.</t>
  </si>
  <si>
    <t>Planned sheet</t>
  </si>
  <si>
    <t>Purpose</t>
  </si>
  <si>
    <t>Status</t>
  </si>
  <si>
    <t>Read_Me</t>
  </si>
  <si>
    <t>Project question, definitions, and workbook navigation.</t>
  </si>
  <si>
    <t>Prepared</t>
  </si>
  <si>
    <t>Raw_Data</t>
  </si>
  <si>
    <t>Original employee records, preserved in an Excel Table named tblHR.</t>
  </si>
  <si>
    <t>Data_QA</t>
  </si>
  <si>
    <t>Validation results, key data notes, and limitations.</t>
  </si>
  <si>
    <t>PVT_Attrition</t>
  </si>
  <si>
    <t>PVT_Workforce</t>
  </si>
  <si>
    <t>PVT_Engagement</t>
  </si>
  <si>
    <t>PVT_Performance</t>
  </si>
  <si>
    <t>Association_Analysis</t>
  </si>
  <si>
    <t>Dashboard</t>
  </si>
  <si>
    <t>Insights</t>
  </si>
  <si>
    <t>Data Quality Review</t>
  </si>
  <si>
    <t>Validation of the supplied Excel workbook before analysis.</t>
  </si>
  <si>
    <t>Check</t>
  </si>
  <si>
    <t>Result</t>
  </si>
  <si>
    <t>Notes</t>
  </si>
  <si>
    <t>Employee records</t>
  </si>
  <si>
    <t>One row per employee; source range includes one header row.</t>
  </si>
  <si>
    <t>Source columns</t>
  </si>
  <si>
    <t>Column headers are unique.</t>
  </si>
  <si>
    <t>Blank cells</t>
  </si>
  <si>
    <t>No blank values found in the 1,470 employee records.</t>
  </si>
  <si>
    <t>Duplicate EmployeeNumber values</t>
  </si>
  <si>
    <t>EmployeeNumber is unique for every record.</t>
  </si>
  <si>
    <t>Duplicate complete rows</t>
  </si>
  <si>
    <t>No exact duplicate records found.</t>
  </si>
  <si>
    <t>Non-numeric values in numeric fields</t>
  </si>
  <si>
    <t>The checked numeric fields contain numeric values.</t>
  </si>
  <si>
    <t>Formula cells in source</t>
  </si>
  <si>
    <t>Source data is stored as values.</t>
  </si>
  <si>
    <t>Attrition split</t>
  </si>
  <si>
    <t>237 Yes / 1,233 No</t>
  </si>
  <si>
    <t>Overall attrition share is 16.12% of this dataset.</t>
  </si>
  <si>
    <t>Excel Table</t>
  </si>
  <si>
    <t>Created: tblHR</t>
  </si>
  <si>
    <t>The validated source range is formatted as an Excel Table for analysis.</t>
  </si>
  <si>
    <t>Data consistency</t>
  </si>
  <si>
    <t>Expected categories and basic tenure relationships were consistent.</t>
  </si>
  <si>
    <t>Constant field</t>
  </si>
  <si>
    <t>Observed value</t>
  </si>
  <si>
    <t>Analysis treatment</t>
  </si>
  <si>
    <t>Preserve in Raw_Data; exclude from analysis because it does not vary.</t>
  </si>
  <si>
    <t>Known limitation</t>
  </si>
  <si>
    <t>Why it matters</t>
  </si>
  <si>
    <t>Treatment</t>
  </si>
  <si>
    <t>No reporting period</t>
  </si>
  <si>
    <t>The file has no date or period field.</t>
  </si>
  <si>
    <t>Do not label 16.12% as annual attrition or report time trends.</t>
  </si>
  <si>
    <t>No departure reason</t>
  </si>
  <si>
    <t>The data records Attrition as Yes/No but not employees’ stated reasons for leaving.</t>
  </si>
  <si>
    <t>Describe associations; do not claim causal drivers.</t>
  </si>
  <si>
    <t>Demographic fields</t>
  </si>
  <si>
    <t>Gender, age, and marital status are present.</t>
  </si>
  <si>
    <t>Use group comparisons carefully; avoid individual-level or discriminatory recommendations.</t>
  </si>
  <si>
    <t>Grand Total</t>
  </si>
  <si>
    <t xml:space="preserve">Department </t>
  </si>
  <si>
    <t xml:space="preserve">Attrition Status </t>
  </si>
  <si>
    <t>Average Job Satisfaction</t>
  </si>
  <si>
    <t xml:space="preserve">JobRole </t>
  </si>
  <si>
    <t xml:space="preserve">Average Age </t>
  </si>
  <si>
    <t xml:space="preserve">Gender </t>
  </si>
  <si>
    <t xml:space="preserve">Average Monthly Income </t>
  </si>
  <si>
    <t xml:space="preserve">DistanceFromHome </t>
  </si>
  <si>
    <t>1-5</t>
  </si>
  <si>
    <t>6-10</t>
  </si>
  <si>
    <t>11-15</t>
  </si>
  <si>
    <t>16-20</t>
  </si>
  <si>
    <t>21-25</t>
  </si>
  <si>
    <t>26-30</t>
  </si>
  <si>
    <t>Attrition Rate by Gender</t>
  </si>
  <si>
    <t xml:space="preserve">Employee % </t>
  </si>
  <si>
    <t xml:space="preserve">Attrition rate </t>
  </si>
  <si>
    <t xml:space="preserve">Attrition Rate by Distance Band </t>
  </si>
  <si>
    <t>Average Age by Attrition Status</t>
  </si>
  <si>
    <t xml:space="preserve">Attrition Status  </t>
  </si>
  <si>
    <t>Average Monthly Income by Attrition Status</t>
  </si>
  <si>
    <t>Average Job Satisfaction by Job Role</t>
  </si>
  <si>
    <t>Attrition Rate by Department</t>
  </si>
  <si>
    <t>Average JobSatisfaction</t>
  </si>
  <si>
    <t>Average Job Satisfaction by Attrition Status</t>
  </si>
  <si>
    <t>Average PerformanceRating</t>
  </si>
  <si>
    <t>Average Performance Rating by Attrition Status</t>
  </si>
  <si>
    <t>Average Work-Life Balance by Attrition Status</t>
  </si>
  <si>
    <t xml:space="preserve">Average Work-Life Balance </t>
  </si>
  <si>
    <t xml:space="preserve">OverTime </t>
  </si>
  <si>
    <r>
      <t>Attrition Rate by Overtime Status</t>
    </r>
    <r>
      <rPr>
        <sz val="11"/>
        <rFont val="Carlito"/>
      </rPr>
      <t xml:space="preserve"> </t>
    </r>
  </si>
  <si>
    <t xml:space="preserve">JobLevel </t>
  </si>
  <si>
    <t>Attrition Rate by Job Level</t>
  </si>
  <si>
    <t>0-4</t>
  </si>
  <si>
    <t>5-9</t>
  </si>
  <si>
    <t>10-14</t>
  </si>
  <si>
    <t>15-19</t>
  </si>
  <si>
    <t>20-24</t>
  </si>
  <si>
    <t>25-29</t>
  </si>
  <si>
    <t>30-34</t>
  </si>
  <si>
    <t>35-40</t>
  </si>
  <si>
    <t>Attrition Rate by Years at Company</t>
  </si>
  <si>
    <t xml:space="preserve">Years at Company </t>
  </si>
  <si>
    <t>Attrition rates by department, gender, distance band, overtime, job level, and tenure band</t>
  </si>
  <si>
    <t>Complete</t>
  </si>
  <si>
    <t>Average age and monthly income by attrition status</t>
  </si>
  <si>
    <t>Average job satisfaction by job role and attrition status</t>
  </si>
  <si>
    <t>Average performance rating and work-life balance by attrition status</t>
  </si>
  <si>
    <t>Correlations among numeric fields and the attrition flag</t>
  </si>
  <si>
    <t>Not started</t>
  </si>
  <si>
    <t>KPI cards and selected PivotCharts based on completed analyses</t>
  </si>
  <si>
    <t>Evidence-based findings, recommendations, and limitations</t>
  </si>
  <si>
    <t>No issues found in the checks performed</t>
  </si>
  <si>
    <t>Attrition_Flag</t>
  </si>
  <si>
    <t>Attrition Flag Total</t>
  </si>
  <si>
    <t>Selected Numeric Measure</t>
  </si>
  <si>
    <t>Correlation with Attrition (Yes = 1)</t>
  </si>
  <si>
    <t>Employee Count</t>
  </si>
  <si>
    <t>KPI</t>
  </si>
  <si>
    <t>Value</t>
  </si>
  <si>
    <t>Total Employees</t>
  </si>
  <si>
    <t>Attrition Cases</t>
  </si>
  <si>
    <t>Overall Attrition Rate</t>
  </si>
  <si>
    <t>Average Job Satisfaction (Leavers)</t>
  </si>
  <si>
    <t>Average Employee Tenure</t>
  </si>
  <si>
    <t xml:space="preserve">Average Employee Tenure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</si>
</sst>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0.000"/>
    <numFmt numFmtId="165" formatCode="_ * #,##0_ ;_ * \-#,##0_ ;_ * &quot;-&quot;??_ ;_ @_ "/>
  </numFmts>
  <fonts count="9">
    <font>
      <sz val="11"/>
      <name val="Carlito"/>
    </font>
    <font>
      <b/>
      <sz val="16"/>
      <color rgb="FFFFFFFF"/>
      <name val="Carlito"/>
    </font>
    <font>
      <i/>
      <sz val="10"/>
      <color rgb="FF455468"/>
      <name val="Carlito"/>
    </font>
    <font>
      <b/>
      <sz val="11"/>
      <color rgb="FF1F2937"/>
      <name val="Carlito"/>
    </font>
    <font>
      <b/>
      <sz val="11"/>
      <color rgb="FFFFFFFF"/>
      <name val="Carlito"/>
    </font>
    <font>
      <sz val="11"/>
      <name val="Carlito"/>
    </font>
    <font>
      <sz val="11"/>
      <name val="Arial"/>
      <family val="2"/>
    </font>
    <font>
      <i/>
      <sz val="10"/>
      <name val="Arial"/>
      <family val="2"/>
    </font>
    <font>
      <sz val="10"/>
      <name val="Arial Unicode MS"/>
    </font>
  </fonts>
  <fills count="4">
    <fill>
      <patternFill patternType="none"/>
    </fill>
    <fill>
      <patternFill patternType="gray125"/>
    </fill>
    <fill>
      <patternFill patternType="solid">
        <fgColor rgb="FF1F4E78"/>
      </patternFill>
    </fill>
    <fill>
      <patternFill patternType="solid">
        <fgColor rgb="FFDCE6F1"/>
      </patternFill>
    </fill>
  </fills>
  <borders count="1">
    <border>
      <left/>
      <right/>
      <top/>
      <bottom/>
      <diagonal/>
    </border>
  </borders>
  <cellStyleXfs count="3">
    <xf numFmtId="0" fontId="0" fillId="0" borderId="0"/>
    <xf numFmtId="43" fontId="5" fillId="0" borderId="0" applyFont="0" applyFill="0" applyBorder="0" applyAlignment="0" applyProtection="0"/>
    <xf numFmtId="9" fontId="5" fillId="0" borderId="0" applyFont="0" applyFill="0" applyBorder="0" applyAlignment="0" applyProtection="0"/>
  </cellStyleXfs>
  <cellXfs count="24">
    <xf numFmtId="0" fontId="0" fillId="0" borderId="0" xfId="0"/>
    <xf numFmtId="0" fontId="2" fillId="0" borderId="0" xfId="0" applyFont="1" applyAlignment="1">
      <alignment vertical="center" wrapText="1"/>
    </xf>
    <xf numFmtId="0" fontId="1" fillId="2" borderId="0" xfId="0" applyFont="1" applyFill="1" applyAlignment="1">
      <alignment vertical="center" wrapText="1"/>
    </xf>
    <xf numFmtId="0" fontId="0" fillId="0" borderId="0" xfId="0" applyAlignment="1">
      <alignment vertical="center" wrapText="1"/>
    </xf>
    <xf numFmtId="0" fontId="3" fillId="3" borderId="0" xfId="0" applyFont="1" applyFill="1" applyAlignment="1">
      <alignment vertical="center" wrapText="1"/>
    </xf>
    <xf numFmtId="0" fontId="0" fillId="3" borderId="0" xfId="0" applyFill="1" applyAlignment="1">
      <alignment vertical="center" wrapText="1"/>
    </xf>
    <xf numFmtId="0" fontId="3" fillId="0" borderId="0" xfId="0" applyFont="1" applyAlignment="1">
      <alignment vertical="center" wrapText="1"/>
    </xf>
    <xf numFmtId="0" fontId="4" fillId="2" borderId="0" xfId="0" applyFont="1" applyFill="1" applyAlignment="1">
      <alignment vertical="center" wrapText="1"/>
    </xf>
    <xf numFmtId="0" fontId="0" fillId="0" borderId="0" xfId="0" pivotButton="1"/>
    <xf numFmtId="0" fontId="0" fillId="0" borderId="0" xfId="0" applyAlignment="1">
      <alignment horizontal="left"/>
    </xf>
    <xf numFmtId="0" fontId="6" fillId="0" borderId="0" xfId="0" applyFont="1"/>
    <xf numFmtId="2" fontId="0" fillId="0" borderId="0" xfId="0" applyNumberFormat="1"/>
    <xf numFmtId="10" fontId="0" fillId="0" borderId="0" xfId="0" applyNumberFormat="1"/>
    <xf numFmtId="0" fontId="6" fillId="0" borderId="0" xfId="0" pivotButton="1" applyFont="1"/>
    <xf numFmtId="0" fontId="6" fillId="0" borderId="0" xfId="0" applyFont="1" applyAlignment="1">
      <alignment horizontal="left"/>
    </xf>
    <xf numFmtId="10" fontId="6" fillId="0" borderId="0" xfId="0" applyNumberFormat="1" applyFont="1"/>
    <xf numFmtId="0" fontId="7" fillId="0" borderId="0" xfId="0" applyFont="1"/>
    <xf numFmtId="2" fontId="6" fillId="0" borderId="0" xfId="0" applyNumberFormat="1" applyFont="1"/>
    <xf numFmtId="1" fontId="6" fillId="0" borderId="0" xfId="0" applyNumberFormat="1" applyFont="1"/>
    <xf numFmtId="0" fontId="8" fillId="0" borderId="0" xfId="0" applyFont="1"/>
    <xf numFmtId="164" fontId="8" fillId="0" borderId="0" xfId="0" applyNumberFormat="1" applyFont="1"/>
    <xf numFmtId="10" fontId="0" fillId="0" borderId="0" xfId="2" applyNumberFormat="1" applyFont="1"/>
    <xf numFmtId="165" fontId="0" fillId="0" borderId="0" xfId="1" applyNumberFormat="1" applyFont="1"/>
    <xf numFmtId="0" fontId="0" fillId="0" borderId="0" xfId="0" applyNumberFormat="1"/>
  </cellXfs>
  <cellStyles count="3">
    <cellStyle name="Comma" xfId="1" builtinId="3"/>
    <cellStyle name="Normal" xfId="0" builtinId="0"/>
    <cellStyle name="Percent" xfId="2" builtinId="5"/>
  </cellStyles>
  <dxfs count="118">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name val="Arial"/>
        <family val="2"/>
      </font>
    </dxf>
    <dxf>
      <font>
        <b/>
        <i val="0"/>
        <color theme="0"/>
      </font>
      <fill>
        <patternFill>
          <bgColor rgb="FF9E9BF2"/>
        </patternFill>
      </fill>
      <border>
        <bottom style="thin">
          <color theme="4"/>
        </bottom>
        <vertical/>
        <horizontal/>
      </border>
    </dxf>
    <dxf>
      <font>
        <b/>
        <i val="0"/>
        <sz val="9"/>
        <color theme="0"/>
      </font>
      <fill>
        <patternFill>
          <bgColor rgb="FF7B77F2"/>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Dark1 2" pivot="0" table="0" count="10" xr9:uid="{5777A74E-809B-4879-AA90-40D72F77F556}">
      <tableStyleElement type="wholeTable" dxfId="117"/>
      <tableStyleElement type="headerRow" dxfId="116"/>
    </tableStyle>
  </tableStyles>
  <colors>
    <mruColors>
      <color rgb="FFD95F5F"/>
      <color rgb="FFC6C4F2"/>
      <color rgb="FF9E9BF2"/>
      <color rgb="FF7B77F2"/>
      <color rgb="FFF2F2F2"/>
    </mruColors>
  </colors>
  <extLst>
    <ext xmlns:x14="http://schemas.microsoft.com/office/spreadsheetml/2009/9/main" uri="{46F421CA-312F-682f-3DD2-61675219B42D}">
      <x14:dxfs count="8">
        <dxf>
          <font>
            <b/>
            <i val="0"/>
            <color theme="0"/>
          </font>
          <fill>
            <patternFill patternType="solid">
              <fgColor auto="1"/>
              <bgColor rgb="FFD95F5F"/>
            </patternFill>
          </fill>
          <border>
            <left style="thin">
              <color rgb="FF999999"/>
            </left>
            <right style="thin">
              <color rgb="FF999999"/>
            </right>
            <top style="thin">
              <color rgb="FF999999"/>
            </top>
            <bottom style="thin">
              <color rgb="FF999999"/>
            </bottom>
            <vertical/>
            <horizontal/>
          </border>
        </dxf>
        <dxf>
          <font>
            <b/>
            <i val="0"/>
            <color theme="0"/>
          </font>
          <fill>
            <patternFill patternType="solid">
              <fgColor auto="1"/>
              <bgColor rgb="FFD95F5F"/>
            </patternFill>
          </fill>
          <border>
            <left style="thin">
              <color rgb="FF999999"/>
            </left>
            <right style="thin">
              <color rgb="FF999999"/>
            </right>
            <top style="thin">
              <color rgb="FF999999"/>
            </top>
            <bottom style="thin">
              <color rgb="FF999999"/>
            </bottom>
            <vertical/>
            <horizontal/>
          </border>
        </dxf>
        <dxf>
          <font>
            <b/>
            <i val="0"/>
            <color theme="0"/>
          </font>
          <fill>
            <patternFill patternType="solid">
              <fgColor auto="1"/>
              <bgColor rgb="FFD95F5F"/>
            </patternFill>
          </fill>
          <border>
            <left style="thin">
              <color rgb="FF999999"/>
            </left>
            <right style="thin">
              <color rgb="FF999999"/>
            </right>
            <top style="thin">
              <color rgb="FF999999"/>
            </top>
            <bottom style="thin">
              <color rgb="FF999999"/>
            </bottom>
            <vertical/>
            <horizontal/>
          </border>
        </dxf>
        <dxf>
          <font>
            <b/>
            <i val="0"/>
            <color theme="0"/>
          </font>
          <fill>
            <patternFill patternType="solid">
              <fgColor auto="1"/>
              <bgColor rgb="FFD95F5F"/>
            </patternFill>
          </fill>
          <border>
            <left style="thin">
              <color rgb="FF999999"/>
            </left>
            <right style="thin">
              <color rgb="FF999999"/>
            </right>
            <top style="thin">
              <color rgb="FF999999"/>
            </top>
            <bottom style="thin">
              <color rgb="FF999999"/>
            </bottom>
            <vertical/>
            <horizontal/>
          </border>
        </dxf>
        <dxf>
          <font>
            <b/>
            <i val="0"/>
            <color theme="0"/>
          </font>
          <fill>
            <patternFill patternType="solid">
              <fgColor theme="4" tint="0.59999389629810485"/>
              <bgColor rgb="FF7B77F2"/>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color theme="0"/>
          </font>
          <fill>
            <patternFill patternType="solid">
              <fgColor theme="4"/>
              <bgColor rgb="FF7B77F2"/>
            </patternFill>
          </fill>
          <border>
            <left style="thin">
              <color theme="4"/>
            </left>
            <right style="thin">
              <color theme="4"/>
            </right>
            <top style="thin">
              <color theme="4"/>
            </top>
            <bottom style="thin">
              <color theme="4"/>
            </bottom>
            <vertical/>
            <horizontal/>
          </border>
        </dxf>
        <dxf>
          <font>
            <b/>
            <i val="0"/>
            <color theme="0"/>
          </font>
          <fill>
            <patternFill patternType="solid">
              <fgColor rgb="FFDFDFDF"/>
              <bgColor rgb="FFC6C4F2"/>
            </patternFill>
          </fill>
          <border>
            <left style="thin">
              <color rgb="FFDFDFDF"/>
            </left>
            <right style="thin">
              <color rgb="FFDFDFDF"/>
            </right>
            <top style="thin">
              <color rgb="FFDFDFDF"/>
            </top>
            <bottom style="thin">
              <color rgb="FFDFDFDF"/>
            </bottom>
            <vertical/>
            <horizontal/>
          </border>
        </dxf>
        <dxf>
          <font>
            <b/>
            <i val="0"/>
            <color theme="0"/>
          </font>
          <fill>
            <patternFill patternType="solid">
              <fgColor rgb="FFC0C0C0"/>
              <bgColor rgb="FF9E9BF2"/>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[Adecco_HR_Analytics_Working.xlsx]PVT_Attrition!PivotTable7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100" b="0">
                <a:ln>
                  <a:noFill/>
                </a:ln>
                <a:solidFill>
                  <a:srgbClr val="7B77F2"/>
                </a:solidFill>
                <a:latin typeface="Arial" panose="020B0604020202020204" pitchFamily="34" charset="0"/>
                <a:cs typeface="Arial" panose="020B0604020202020204" pitchFamily="34" charset="0"/>
              </a:rPr>
              <a:t>Attrition Rate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B77F2"/>
          </a:solidFill>
          <a:ln>
            <a:noFill/>
          </a:ln>
          <a:effectLst>
            <a:outerShdw blurRad="57150" dist="19050" dir="540000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95F5F"/>
          </a:solidFill>
          <a:ln>
            <a:noFill/>
          </a:ln>
          <a:effectLst>
            <a:outerShdw blurRad="57150" dist="19050" dir="540000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PVT_Attrition!$B$7:$B$8</c:f>
              <c:strCache>
                <c:ptCount val="1"/>
                <c:pt idx="0">
                  <c:v>No</c:v>
                </c:pt>
              </c:strCache>
            </c:strRef>
          </c:tx>
          <c:spPr>
            <a:solidFill>
              <a:srgbClr val="7B77F2"/>
            </a:solidFill>
            <a:ln>
              <a:noFill/>
            </a:ln>
            <a:effectLst>
              <a:outerShdw blurRad="57150" dist="19050" dir="540000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PVT_Attrition!$A$9:$A$12</c:f>
              <c:strCache>
                <c:ptCount val="3"/>
                <c:pt idx="0">
                  <c:v>Sales</c:v>
                </c:pt>
                <c:pt idx="1">
                  <c:v>Human Resources</c:v>
                </c:pt>
                <c:pt idx="2">
                  <c:v>Research &amp; Development</c:v>
                </c:pt>
              </c:strCache>
            </c:strRef>
          </c:cat>
          <c:val>
            <c:numRef>
              <c:f>PVT_Attrition!$B$9:$B$12</c:f>
              <c:numCache>
                <c:formatCode>0.00%</c:formatCode>
                <c:ptCount val="3"/>
                <c:pt idx="0">
                  <c:v>0.79372197309417036</c:v>
                </c:pt>
                <c:pt idx="1">
                  <c:v>0.80952380952380953</c:v>
                </c:pt>
                <c:pt idx="2">
                  <c:v>0.86160249739854322</c:v>
                </c:pt>
              </c:numCache>
            </c:numRef>
          </c:val>
          <c:extLst>
            <c:ext xmlns:c16="http://schemas.microsoft.com/office/drawing/2014/chart" uri="{C3380CC4-5D6E-409C-BE32-E72D297353CC}">
              <c16:uniqueId val="{00000000-3695-4114-BD71-23AC79018A67}"/>
            </c:ext>
          </c:extLst>
        </c:ser>
        <c:ser>
          <c:idx val="1"/>
          <c:order val="1"/>
          <c:tx>
            <c:strRef>
              <c:f>PVT_Attrition!$C$7:$C$8</c:f>
              <c:strCache>
                <c:ptCount val="1"/>
                <c:pt idx="0">
                  <c:v>Yes</c:v>
                </c:pt>
              </c:strCache>
            </c:strRef>
          </c:tx>
          <c:spPr>
            <a:solidFill>
              <a:srgbClr val="D95F5F"/>
            </a:solidFill>
            <a:ln>
              <a:noFill/>
            </a:ln>
            <a:effectLst>
              <a:outerShdw blurRad="57150" dist="19050" dir="540000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PVT_Attrition!$A$9:$A$12</c:f>
              <c:strCache>
                <c:ptCount val="3"/>
                <c:pt idx="0">
                  <c:v>Sales</c:v>
                </c:pt>
                <c:pt idx="1">
                  <c:v>Human Resources</c:v>
                </c:pt>
                <c:pt idx="2">
                  <c:v>Research &amp; Development</c:v>
                </c:pt>
              </c:strCache>
            </c:strRef>
          </c:cat>
          <c:val>
            <c:numRef>
              <c:f>PVT_Attrition!$C$9:$C$12</c:f>
              <c:numCache>
                <c:formatCode>0.00%</c:formatCode>
                <c:ptCount val="3"/>
                <c:pt idx="0">
                  <c:v>0.20627802690582961</c:v>
                </c:pt>
                <c:pt idx="1">
                  <c:v>0.19047619047619047</c:v>
                </c:pt>
                <c:pt idx="2">
                  <c:v>0.13839750260145681</c:v>
                </c:pt>
              </c:numCache>
            </c:numRef>
          </c:val>
          <c:extLst>
            <c:ext xmlns:c16="http://schemas.microsoft.com/office/drawing/2014/chart" uri="{C3380CC4-5D6E-409C-BE32-E72D297353CC}">
              <c16:uniqueId val="{00000001-3695-4114-BD71-23AC79018A67}"/>
            </c:ext>
          </c:extLst>
        </c:ser>
        <c:dLbls>
          <c:dLblPos val="ctr"/>
          <c:showLegendKey val="0"/>
          <c:showVal val="1"/>
          <c:showCatName val="0"/>
          <c:showSerName val="0"/>
          <c:showPercent val="0"/>
          <c:showBubbleSize val="0"/>
        </c:dLbls>
        <c:gapWidth val="60"/>
        <c:overlap val="100"/>
        <c:axId val="1018083215"/>
        <c:axId val="959135247"/>
      </c:barChart>
      <c:catAx>
        <c:axId val="10180832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135247"/>
        <c:crosses val="autoZero"/>
        <c:auto val="1"/>
        <c:lblAlgn val="ctr"/>
        <c:lblOffset val="100"/>
        <c:noMultiLvlLbl val="0"/>
      </c:catAx>
      <c:valAx>
        <c:axId val="95913524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08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solidFill>
        <a:schemeClr val="bg1">
          <a:lumMod val="85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[Adecco_HR_Analytics_Working.xlsx]PVT_Attrition!PivotTable15</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100" b="0">
                <a:solidFill>
                  <a:srgbClr val="7B77F2"/>
                </a:solidFill>
                <a:latin typeface="Arial" panose="020B0604020202020204" pitchFamily="34" charset="0"/>
                <a:cs typeface="Arial" panose="020B0604020202020204" pitchFamily="34" charset="0"/>
              </a:rPr>
              <a:t>Attrition Rate by Overtime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B77F2"/>
          </a:solidFill>
          <a:ln>
            <a:noFill/>
          </a:ln>
          <a:effectLst>
            <a:outerShdw blurRad="57150" dist="19050" dir="540000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D95F5F"/>
          </a:solidFill>
          <a:ln>
            <a:noFill/>
          </a:ln>
          <a:effectLst>
            <a:outerShdw blurRad="57150" dist="19050" dir="5400000">
              <a:srgbClr val="000000">
                <a:alpha val="63000"/>
              </a:srgbClr>
            </a:outerShdw>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D95F5F"/>
          </a:solidFill>
          <a:ln>
            <a:noFill/>
          </a:ln>
          <a:effectLst>
            <a:outerShdw blurRad="57150" dist="19050" dir="5400000">
              <a:srgbClr val="000000">
                <a:alpha val="63000"/>
              </a:srgbClr>
            </a:outerShdw>
          </a:effectLst>
          <a:sp3d/>
        </c:spPr>
        <c:dLbl>
          <c:idx val="0"/>
          <c:layout>
            <c:manualLayout>
              <c:x val="0.22371967654986524"/>
              <c:y val="-8.199931731499424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D95F5F"/>
          </a:solidFill>
          <a:ln>
            <a:noFill/>
          </a:ln>
          <a:effectLst>
            <a:outerShdw blurRad="57150" dist="19050" dir="5400000">
              <a:srgbClr val="000000">
                <a:alpha val="63000"/>
              </a:srgbClr>
            </a:outerShdw>
          </a:effectLst>
          <a:sp3d/>
        </c:spPr>
        <c:dLbl>
          <c:idx val="0"/>
          <c:layout>
            <c:manualLayout>
              <c:x val="0.13746630727762804"/>
              <c:y val="-3.03401126957899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7B77F2"/>
          </a:solidFill>
          <a:ln>
            <a:noFill/>
          </a:ln>
          <a:effectLst>
            <a:outerShdw blurRad="57150" dist="19050" dir="5400000">
              <a:srgbClr val="000000">
                <a:alpha val="63000"/>
              </a:srgbClr>
            </a:outerShdw>
          </a:effectLst>
          <a:sp3d/>
        </c:spPr>
        <c:dLbl>
          <c:idx val="0"/>
          <c:layout>
            <c:manualLayout>
              <c:x val="0.20754716981132065"/>
              <c:y val="7.72318868285222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7B77F2"/>
          </a:solidFill>
          <a:ln>
            <a:noFill/>
          </a:ln>
          <a:effectLst>
            <a:outerShdw blurRad="57150" dist="19050" dir="5400000">
              <a:srgbClr val="000000">
                <a:alpha val="63000"/>
              </a:srgbClr>
            </a:outerShdw>
          </a:effectLst>
          <a:sp3d/>
        </c:spPr>
        <c:dLbl>
          <c:idx val="0"/>
          <c:layout>
            <c:manualLayout>
              <c:x val="0.16442048517520216"/>
              <c:y val="1.033443853622918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PVT_Attrition!$Q$7:$Q$8</c:f>
              <c:strCache>
                <c:ptCount val="1"/>
                <c:pt idx="0">
                  <c:v>No</c:v>
                </c:pt>
              </c:strCache>
            </c:strRef>
          </c:tx>
          <c:spPr>
            <a:solidFill>
              <a:srgbClr val="7B77F2"/>
            </a:solidFill>
            <a:ln>
              <a:noFill/>
            </a:ln>
            <a:effectLst>
              <a:outerShdw blurRad="57150" dist="19050" dir="5400000">
                <a:srgbClr val="000000">
                  <a:alpha val="63000"/>
                </a:srgbClr>
              </a:outerShdw>
            </a:effectLst>
            <a:sp3d/>
          </c:spPr>
          <c:invertIfNegative val="0"/>
          <c:dPt>
            <c:idx val="0"/>
            <c:invertIfNegative val="0"/>
            <c:bubble3D val="0"/>
            <c:spPr>
              <a:solidFill>
                <a:srgbClr val="7B77F2"/>
              </a:solidFill>
              <a:ln>
                <a:noFill/>
              </a:ln>
              <a:effectLst>
                <a:outerShdw blurRad="57150" dist="19050" dir="5400000">
                  <a:srgbClr val="000000">
                    <a:alpha val="63000"/>
                  </a:srgbClr>
                </a:outerShdw>
              </a:effectLst>
              <a:sp3d/>
            </c:spPr>
            <c:extLst>
              <c:ext xmlns:c16="http://schemas.microsoft.com/office/drawing/2014/chart" uri="{C3380CC4-5D6E-409C-BE32-E72D297353CC}">
                <c16:uniqueId val="{00000007-5FD9-4244-981D-4423CF170668}"/>
              </c:ext>
            </c:extLst>
          </c:dPt>
          <c:dPt>
            <c:idx val="1"/>
            <c:invertIfNegative val="0"/>
            <c:bubble3D val="0"/>
            <c:spPr>
              <a:solidFill>
                <a:srgbClr val="7B77F2"/>
              </a:solidFill>
              <a:ln>
                <a:noFill/>
              </a:ln>
              <a:effectLst>
                <a:outerShdw blurRad="57150" dist="19050" dir="5400000">
                  <a:srgbClr val="000000">
                    <a:alpha val="63000"/>
                  </a:srgbClr>
                </a:outerShdw>
              </a:effectLst>
              <a:sp3d/>
            </c:spPr>
            <c:extLst>
              <c:ext xmlns:c16="http://schemas.microsoft.com/office/drawing/2014/chart" uri="{C3380CC4-5D6E-409C-BE32-E72D297353CC}">
                <c16:uniqueId val="{00000006-5FD9-4244-981D-4423CF170668}"/>
              </c:ext>
            </c:extLst>
          </c:dPt>
          <c:dLbls>
            <c:dLbl>
              <c:idx val="0"/>
              <c:layout>
                <c:manualLayout>
                  <c:x val="0.16442048517520216"/>
                  <c:y val="1.033443853622918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FD9-4244-981D-4423CF170668}"/>
                </c:ext>
              </c:extLst>
            </c:dLbl>
            <c:dLbl>
              <c:idx val="1"/>
              <c:layout>
                <c:manualLayout>
                  <c:x val="0.20754716981132065"/>
                  <c:y val="7.723188682852226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FD9-4244-981D-4423CF17066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PVT_Attrition!$P$9:$P$11</c:f>
              <c:strCache>
                <c:ptCount val="2"/>
                <c:pt idx="0">
                  <c:v>No</c:v>
                </c:pt>
                <c:pt idx="1">
                  <c:v>Yes</c:v>
                </c:pt>
              </c:strCache>
            </c:strRef>
          </c:cat>
          <c:val>
            <c:numRef>
              <c:f>PVT_Attrition!$Q$9:$Q$11</c:f>
              <c:numCache>
                <c:formatCode>0.00%</c:formatCode>
                <c:ptCount val="2"/>
                <c:pt idx="0">
                  <c:v>0.89563567362428842</c:v>
                </c:pt>
                <c:pt idx="1">
                  <c:v>0.69471153846153844</c:v>
                </c:pt>
              </c:numCache>
            </c:numRef>
          </c:val>
          <c:extLst>
            <c:ext xmlns:c16="http://schemas.microsoft.com/office/drawing/2014/chart" uri="{C3380CC4-5D6E-409C-BE32-E72D297353CC}">
              <c16:uniqueId val="{00000000-5FD9-4244-981D-4423CF170668}"/>
            </c:ext>
          </c:extLst>
        </c:ser>
        <c:ser>
          <c:idx val="1"/>
          <c:order val="1"/>
          <c:tx>
            <c:strRef>
              <c:f>PVT_Attrition!$R$7:$R$8</c:f>
              <c:strCache>
                <c:ptCount val="1"/>
                <c:pt idx="0">
                  <c:v>Yes</c:v>
                </c:pt>
              </c:strCache>
            </c:strRef>
          </c:tx>
          <c:spPr>
            <a:solidFill>
              <a:srgbClr val="D95F5F"/>
            </a:solidFill>
            <a:ln>
              <a:noFill/>
            </a:ln>
            <a:effectLst>
              <a:outerShdw blurRad="57150" dist="19050" dir="5400000">
                <a:srgbClr val="000000">
                  <a:alpha val="63000"/>
                </a:srgbClr>
              </a:outerShdw>
            </a:effectLst>
            <a:sp3d/>
          </c:spPr>
          <c:invertIfNegative val="0"/>
          <c:dPt>
            <c:idx val="0"/>
            <c:invertIfNegative val="0"/>
            <c:bubble3D val="0"/>
            <c:spPr>
              <a:solidFill>
                <a:srgbClr val="D95F5F"/>
              </a:solidFill>
              <a:ln>
                <a:noFill/>
              </a:ln>
              <a:effectLst>
                <a:outerShdw blurRad="57150" dist="19050" dir="5400000">
                  <a:srgbClr val="000000">
                    <a:alpha val="63000"/>
                  </a:srgbClr>
                </a:outerShdw>
              </a:effectLst>
              <a:sp3d/>
            </c:spPr>
            <c:extLst>
              <c:ext xmlns:c16="http://schemas.microsoft.com/office/drawing/2014/chart" uri="{C3380CC4-5D6E-409C-BE32-E72D297353CC}">
                <c16:uniqueId val="{00000005-5FD9-4244-981D-4423CF170668}"/>
              </c:ext>
            </c:extLst>
          </c:dPt>
          <c:dPt>
            <c:idx val="1"/>
            <c:invertIfNegative val="0"/>
            <c:bubble3D val="0"/>
            <c:spPr>
              <a:solidFill>
                <a:srgbClr val="D95F5F"/>
              </a:solidFill>
              <a:ln>
                <a:noFill/>
              </a:ln>
              <a:effectLst>
                <a:outerShdw blurRad="57150" dist="19050" dir="5400000">
                  <a:srgbClr val="000000">
                    <a:alpha val="63000"/>
                  </a:srgbClr>
                </a:outerShdw>
              </a:effectLst>
              <a:sp3d/>
            </c:spPr>
            <c:extLst>
              <c:ext xmlns:c16="http://schemas.microsoft.com/office/drawing/2014/chart" uri="{C3380CC4-5D6E-409C-BE32-E72D297353CC}">
                <c16:uniqueId val="{00000004-5FD9-4244-981D-4423CF170668}"/>
              </c:ext>
            </c:extLst>
          </c:dPt>
          <c:dLbls>
            <c:dLbl>
              <c:idx val="0"/>
              <c:layout>
                <c:manualLayout>
                  <c:x val="0.13746630727762804"/>
                  <c:y val="-3.034011269578995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FD9-4244-981D-4423CF170668}"/>
                </c:ext>
              </c:extLst>
            </c:dLbl>
            <c:dLbl>
              <c:idx val="1"/>
              <c:layout>
                <c:manualLayout>
                  <c:x val="0.22371967654986524"/>
                  <c:y val="-8.199931731499424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FD9-4244-981D-4423CF17066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PVT_Attrition!$P$9:$P$11</c:f>
              <c:strCache>
                <c:ptCount val="2"/>
                <c:pt idx="0">
                  <c:v>No</c:v>
                </c:pt>
                <c:pt idx="1">
                  <c:v>Yes</c:v>
                </c:pt>
              </c:strCache>
            </c:strRef>
          </c:cat>
          <c:val>
            <c:numRef>
              <c:f>PVT_Attrition!$R$9:$R$11</c:f>
              <c:numCache>
                <c:formatCode>0.00%</c:formatCode>
                <c:ptCount val="2"/>
                <c:pt idx="0">
                  <c:v>0.10436432637571158</c:v>
                </c:pt>
                <c:pt idx="1">
                  <c:v>0.30528846153846156</c:v>
                </c:pt>
              </c:numCache>
            </c:numRef>
          </c:val>
          <c:extLst>
            <c:ext xmlns:c16="http://schemas.microsoft.com/office/drawing/2014/chart" uri="{C3380CC4-5D6E-409C-BE32-E72D297353CC}">
              <c16:uniqueId val="{00000001-5FD9-4244-981D-4423CF170668}"/>
            </c:ext>
          </c:extLst>
        </c:ser>
        <c:dLbls>
          <c:showLegendKey val="0"/>
          <c:showVal val="1"/>
          <c:showCatName val="0"/>
          <c:showSerName val="0"/>
          <c:showPercent val="0"/>
          <c:showBubbleSize val="0"/>
        </c:dLbls>
        <c:gapWidth val="150"/>
        <c:shape val="pyramid"/>
        <c:axId val="1192424319"/>
        <c:axId val="959178927"/>
        <c:axId val="0"/>
      </c:bar3DChart>
      <c:catAx>
        <c:axId val="11924243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178927"/>
        <c:crosses val="autoZero"/>
        <c:auto val="1"/>
        <c:lblAlgn val="ctr"/>
        <c:lblOffset val="100"/>
        <c:noMultiLvlLbl val="0"/>
      </c:catAx>
      <c:valAx>
        <c:axId val="95917892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424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[Adecco_HR_Analytics_Working.xlsx]PVT_Attrition!PivotTable16</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100" b="0">
                <a:solidFill>
                  <a:srgbClr val="7B77F2"/>
                </a:solidFill>
                <a:latin typeface="Arial" panose="020B0604020202020204" pitchFamily="34" charset="0"/>
                <a:cs typeface="Arial" panose="020B0604020202020204" pitchFamily="34" charset="0"/>
              </a:rPr>
              <a:t>Attrition Rate by Job Level</a:t>
            </a:r>
            <a:r>
              <a:rPr lang="en-IN"/>
              <a: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B77F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95F5F"/>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B77F2"/>
          </a:solidFill>
          <a:ln>
            <a:noFill/>
          </a:ln>
          <a:effectLst/>
          <a:sp3d/>
        </c:spPr>
        <c:dLbl>
          <c:idx val="0"/>
          <c:layout>
            <c:manualLayout>
              <c:x val="1.446945246034801E-2"/>
              <c:y val="4.6578671792538597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B77F2"/>
          </a:solidFill>
          <a:ln>
            <a:noFill/>
          </a:ln>
          <a:effectLst/>
          <a:sp3d/>
        </c:spPr>
        <c:dLbl>
          <c:idx val="0"/>
          <c:layout>
            <c:manualLayout>
              <c:x val="9.6463016402320665E-3"/>
              <c:y val="6.0302744731314743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B77F2"/>
          </a:solidFill>
          <a:ln>
            <a:noFill/>
          </a:ln>
          <a:effectLst/>
          <a:sp3d/>
        </c:spPr>
        <c:dLbl>
          <c:idx val="0"/>
          <c:layout>
            <c:manualLayout>
              <c:x val="7.2347262301740494E-3"/>
              <c:y val="6.2382149722149909E-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B77F2"/>
          </a:solidFill>
          <a:ln>
            <a:noFill/>
          </a:ln>
          <a:effectLst/>
          <a:sp3d/>
        </c:spPr>
        <c:dLbl>
          <c:idx val="0"/>
          <c:layout>
            <c:manualLayout>
              <c:x val="7.2347262301740052E-3"/>
              <c:y val="3.2854598853665618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B77F2"/>
          </a:solidFill>
          <a:ln>
            <a:noFill/>
          </a:ln>
          <a:effectLst/>
          <a:sp3d/>
        </c:spPr>
        <c:dLbl>
          <c:idx val="0"/>
          <c:layout>
            <c:manualLayout>
              <c:x val="7.2347262301740494E-3"/>
              <c:y val="-5.339080254219736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95F5F"/>
          </a:solidFill>
          <a:ln>
            <a:noFill/>
          </a:ln>
          <a:effectLst/>
          <a:sp3d/>
        </c:spPr>
        <c:dLbl>
          <c:idx val="0"/>
          <c:layout>
            <c:manualLayout>
              <c:x val="9.6463016402320665E-3"/>
              <c:y val="5.4937879855306688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D95F5F"/>
          </a:solidFill>
          <a:ln>
            <a:noFill/>
          </a:ln>
          <a:effectLst/>
          <a:sp3d/>
        </c:spPr>
        <c:dLbl>
          <c:idx val="0"/>
          <c:layout>
            <c:manualLayout>
              <c:x val="9.6463016402320665E-3"/>
              <c:y val="5.9013513637148972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D95F5F"/>
          </a:solidFill>
          <a:ln>
            <a:noFill/>
          </a:ln>
          <a:effectLst/>
          <a:sp3d/>
        </c:spPr>
        <c:dLbl>
          <c:idx val="0"/>
          <c:layout>
            <c:manualLayout>
              <c:x val="1.2057877050290083E-2"/>
              <c:y val="6.0344332831226339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D95F5F"/>
          </a:solidFill>
          <a:ln>
            <a:noFill/>
          </a:ln>
          <a:effectLst/>
          <a:sp3d/>
        </c:spPr>
        <c:dLbl>
          <c:idx val="0"/>
          <c:layout>
            <c:manualLayout>
              <c:x val="7.2347262301740052E-3"/>
              <c:y val="5.7641106343266513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D95F5F"/>
          </a:solidFill>
          <a:ln>
            <a:noFill/>
          </a:ln>
          <a:effectLst/>
          <a:sp3d/>
        </c:spPr>
        <c:dLbl>
          <c:idx val="0"/>
          <c:layout>
            <c:manualLayout>
              <c:x val="1.4469452460348076E-2"/>
              <c:y val="4.8616488683462161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PVT_Attrition!$V$7:$V$8</c:f>
              <c:strCache>
                <c:ptCount val="1"/>
                <c:pt idx="0">
                  <c:v>No</c:v>
                </c:pt>
              </c:strCache>
            </c:strRef>
          </c:tx>
          <c:spPr>
            <a:solidFill>
              <a:srgbClr val="7B77F2"/>
            </a:solidFill>
            <a:ln>
              <a:noFill/>
            </a:ln>
            <a:effectLst/>
            <a:sp3d/>
          </c:spPr>
          <c:invertIfNegative val="0"/>
          <c:dPt>
            <c:idx val="0"/>
            <c:invertIfNegative val="0"/>
            <c:bubble3D val="0"/>
            <c:extLst>
              <c:ext xmlns:c16="http://schemas.microsoft.com/office/drawing/2014/chart" uri="{C3380CC4-5D6E-409C-BE32-E72D297353CC}">
                <c16:uniqueId val="{00000008-3181-4EAB-810C-819CC0DA7585}"/>
              </c:ext>
            </c:extLst>
          </c:dPt>
          <c:dPt>
            <c:idx val="1"/>
            <c:invertIfNegative val="0"/>
            <c:bubble3D val="0"/>
            <c:extLst>
              <c:ext xmlns:c16="http://schemas.microsoft.com/office/drawing/2014/chart" uri="{C3380CC4-5D6E-409C-BE32-E72D297353CC}">
                <c16:uniqueId val="{00000007-3181-4EAB-810C-819CC0DA7585}"/>
              </c:ext>
            </c:extLst>
          </c:dPt>
          <c:dPt>
            <c:idx val="2"/>
            <c:invertIfNegative val="0"/>
            <c:bubble3D val="0"/>
            <c:extLst>
              <c:ext xmlns:c16="http://schemas.microsoft.com/office/drawing/2014/chart" uri="{C3380CC4-5D6E-409C-BE32-E72D297353CC}">
                <c16:uniqueId val="{00000006-3181-4EAB-810C-819CC0DA7585}"/>
              </c:ext>
            </c:extLst>
          </c:dPt>
          <c:dPt>
            <c:idx val="3"/>
            <c:invertIfNegative val="0"/>
            <c:bubble3D val="0"/>
            <c:extLst>
              <c:ext xmlns:c16="http://schemas.microsoft.com/office/drawing/2014/chart" uri="{C3380CC4-5D6E-409C-BE32-E72D297353CC}">
                <c16:uniqueId val="{00000005-3181-4EAB-810C-819CC0DA7585}"/>
              </c:ext>
            </c:extLst>
          </c:dPt>
          <c:dPt>
            <c:idx val="4"/>
            <c:invertIfNegative val="0"/>
            <c:bubble3D val="0"/>
            <c:extLst>
              <c:ext xmlns:c16="http://schemas.microsoft.com/office/drawing/2014/chart" uri="{C3380CC4-5D6E-409C-BE32-E72D297353CC}">
                <c16:uniqueId val="{00000004-3181-4EAB-810C-819CC0DA7585}"/>
              </c:ext>
            </c:extLst>
          </c:dPt>
          <c:dLbls>
            <c:dLbl>
              <c:idx val="0"/>
              <c:layout>
                <c:manualLayout>
                  <c:x val="7.2347262301740494E-3"/>
                  <c:y val="-5.339080254219736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181-4EAB-810C-819CC0DA7585}"/>
                </c:ext>
              </c:extLst>
            </c:dLbl>
            <c:dLbl>
              <c:idx val="1"/>
              <c:layout>
                <c:manualLayout>
                  <c:x val="7.2347262301740052E-3"/>
                  <c:y val="3.2854598853665618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181-4EAB-810C-819CC0DA7585}"/>
                </c:ext>
              </c:extLst>
            </c:dLbl>
            <c:dLbl>
              <c:idx val="2"/>
              <c:layout>
                <c:manualLayout>
                  <c:x val="7.2347262301740494E-3"/>
                  <c:y val="6.2382149722149909E-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181-4EAB-810C-819CC0DA7585}"/>
                </c:ext>
              </c:extLst>
            </c:dLbl>
            <c:dLbl>
              <c:idx val="3"/>
              <c:layout>
                <c:manualLayout>
                  <c:x val="9.6463016402320665E-3"/>
                  <c:y val="6.0302744731314743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181-4EAB-810C-819CC0DA7585}"/>
                </c:ext>
              </c:extLst>
            </c:dLbl>
            <c:dLbl>
              <c:idx val="4"/>
              <c:layout>
                <c:manualLayout>
                  <c:x val="1.446945246034801E-2"/>
                  <c:y val="4.6578671792538597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181-4EAB-810C-819CC0DA75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PVT_Attrition!$U$9:$U$14</c:f>
              <c:strCache>
                <c:ptCount val="5"/>
                <c:pt idx="0">
                  <c:v>1</c:v>
                </c:pt>
                <c:pt idx="1">
                  <c:v>2</c:v>
                </c:pt>
                <c:pt idx="2">
                  <c:v>3</c:v>
                </c:pt>
                <c:pt idx="3">
                  <c:v>4</c:v>
                </c:pt>
                <c:pt idx="4">
                  <c:v>5</c:v>
                </c:pt>
              </c:strCache>
            </c:strRef>
          </c:cat>
          <c:val>
            <c:numRef>
              <c:f>PVT_Attrition!$V$9:$V$14</c:f>
              <c:numCache>
                <c:formatCode>0.00%</c:formatCode>
                <c:ptCount val="5"/>
                <c:pt idx="0">
                  <c:v>0.73664825046040516</c:v>
                </c:pt>
                <c:pt idx="1">
                  <c:v>0.90262172284644193</c:v>
                </c:pt>
                <c:pt idx="2">
                  <c:v>0.85321100917431192</c:v>
                </c:pt>
                <c:pt idx="3">
                  <c:v>0.95283018867924529</c:v>
                </c:pt>
                <c:pt idx="4">
                  <c:v>0.92753623188405798</c:v>
                </c:pt>
              </c:numCache>
            </c:numRef>
          </c:val>
          <c:extLst>
            <c:ext xmlns:c16="http://schemas.microsoft.com/office/drawing/2014/chart" uri="{C3380CC4-5D6E-409C-BE32-E72D297353CC}">
              <c16:uniqueId val="{00000000-3181-4EAB-810C-819CC0DA7585}"/>
            </c:ext>
          </c:extLst>
        </c:ser>
        <c:ser>
          <c:idx val="1"/>
          <c:order val="1"/>
          <c:tx>
            <c:strRef>
              <c:f>PVT_Attrition!$W$7:$W$8</c:f>
              <c:strCache>
                <c:ptCount val="1"/>
                <c:pt idx="0">
                  <c:v>Yes</c:v>
                </c:pt>
              </c:strCache>
            </c:strRef>
          </c:tx>
          <c:spPr>
            <a:solidFill>
              <a:srgbClr val="D95F5F"/>
            </a:solidFill>
            <a:ln>
              <a:noFill/>
            </a:ln>
            <a:effectLst/>
            <a:sp3d/>
          </c:spPr>
          <c:invertIfNegative val="0"/>
          <c:dPt>
            <c:idx val="0"/>
            <c:invertIfNegative val="0"/>
            <c:bubble3D val="0"/>
            <c:extLst>
              <c:ext xmlns:c16="http://schemas.microsoft.com/office/drawing/2014/chart" uri="{C3380CC4-5D6E-409C-BE32-E72D297353CC}">
                <c16:uniqueId val="{0000000D-3181-4EAB-810C-819CC0DA7585}"/>
              </c:ext>
            </c:extLst>
          </c:dPt>
          <c:dPt>
            <c:idx val="1"/>
            <c:invertIfNegative val="0"/>
            <c:bubble3D val="0"/>
            <c:extLst>
              <c:ext xmlns:c16="http://schemas.microsoft.com/office/drawing/2014/chart" uri="{C3380CC4-5D6E-409C-BE32-E72D297353CC}">
                <c16:uniqueId val="{0000000C-3181-4EAB-810C-819CC0DA7585}"/>
              </c:ext>
            </c:extLst>
          </c:dPt>
          <c:dPt>
            <c:idx val="2"/>
            <c:invertIfNegative val="0"/>
            <c:bubble3D val="0"/>
            <c:extLst>
              <c:ext xmlns:c16="http://schemas.microsoft.com/office/drawing/2014/chart" uri="{C3380CC4-5D6E-409C-BE32-E72D297353CC}">
                <c16:uniqueId val="{00000009-3181-4EAB-810C-819CC0DA7585}"/>
              </c:ext>
            </c:extLst>
          </c:dPt>
          <c:dPt>
            <c:idx val="3"/>
            <c:invertIfNegative val="0"/>
            <c:bubble3D val="0"/>
            <c:extLst>
              <c:ext xmlns:c16="http://schemas.microsoft.com/office/drawing/2014/chart" uri="{C3380CC4-5D6E-409C-BE32-E72D297353CC}">
                <c16:uniqueId val="{0000000B-3181-4EAB-810C-819CC0DA7585}"/>
              </c:ext>
            </c:extLst>
          </c:dPt>
          <c:dPt>
            <c:idx val="4"/>
            <c:invertIfNegative val="0"/>
            <c:bubble3D val="0"/>
            <c:extLst>
              <c:ext xmlns:c16="http://schemas.microsoft.com/office/drawing/2014/chart" uri="{C3380CC4-5D6E-409C-BE32-E72D297353CC}">
                <c16:uniqueId val="{0000000A-3181-4EAB-810C-819CC0DA7585}"/>
              </c:ext>
            </c:extLst>
          </c:dPt>
          <c:dLbls>
            <c:dLbl>
              <c:idx val="0"/>
              <c:layout>
                <c:manualLayout>
                  <c:x val="1.4469452460348076E-2"/>
                  <c:y val="4.8616488683462161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181-4EAB-810C-819CC0DA7585}"/>
                </c:ext>
              </c:extLst>
            </c:dLbl>
            <c:dLbl>
              <c:idx val="1"/>
              <c:layout>
                <c:manualLayout>
                  <c:x val="7.2347262301740052E-3"/>
                  <c:y val="5.7641106343266513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181-4EAB-810C-819CC0DA7585}"/>
                </c:ext>
              </c:extLst>
            </c:dLbl>
            <c:dLbl>
              <c:idx val="2"/>
              <c:layout>
                <c:manualLayout>
                  <c:x val="9.6463016402320665E-3"/>
                  <c:y val="5.4937879855306688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181-4EAB-810C-819CC0DA7585}"/>
                </c:ext>
              </c:extLst>
            </c:dLbl>
            <c:dLbl>
              <c:idx val="3"/>
              <c:layout>
                <c:manualLayout>
                  <c:x val="1.2057877050290083E-2"/>
                  <c:y val="6.0344332831226339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181-4EAB-810C-819CC0DA7585}"/>
                </c:ext>
              </c:extLst>
            </c:dLbl>
            <c:dLbl>
              <c:idx val="4"/>
              <c:layout>
                <c:manualLayout>
                  <c:x val="9.6463016402320665E-3"/>
                  <c:y val="5.9013513637148972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181-4EAB-810C-819CC0DA75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PVT_Attrition!$U$9:$U$14</c:f>
              <c:strCache>
                <c:ptCount val="5"/>
                <c:pt idx="0">
                  <c:v>1</c:v>
                </c:pt>
                <c:pt idx="1">
                  <c:v>2</c:v>
                </c:pt>
                <c:pt idx="2">
                  <c:v>3</c:v>
                </c:pt>
                <c:pt idx="3">
                  <c:v>4</c:v>
                </c:pt>
                <c:pt idx="4">
                  <c:v>5</c:v>
                </c:pt>
              </c:strCache>
            </c:strRef>
          </c:cat>
          <c:val>
            <c:numRef>
              <c:f>PVT_Attrition!$W$9:$W$14</c:f>
              <c:numCache>
                <c:formatCode>0.00%</c:formatCode>
                <c:ptCount val="5"/>
                <c:pt idx="0">
                  <c:v>0.26335174953959484</c:v>
                </c:pt>
                <c:pt idx="1">
                  <c:v>9.7378277153558054E-2</c:v>
                </c:pt>
                <c:pt idx="2">
                  <c:v>0.14678899082568808</c:v>
                </c:pt>
                <c:pt idx="3">
                  <c:v>4.716981132075472E-2</c:v>
                </c:pt>
                <c:pt idx="4">
                  <c:v>7.2463768115942032E-2</c:v>
                </c:pt>
              </c:numCache>
            </c:numRef>
          </c:val>
          <c:extLst>
            <c:ext xmlns:c16="http://schemas.microsoft.com/office/drawing/2014/chart" uri="{C3380CC4-5D6E-409C-BE32-E72D297353CC}">
              <c16:uniqueId val="{00000003-3181-4EAB-810C-819CC0DA7585}"/>
            </c:ext>
          </c:extLst>
        </c:ser>
        <c:dLbls>
          <c:showLegendKey val="0"/>
          <c:showVal val="1"/>
          <c:showCatName val="0"/>
          <c:showSerName val="0"/>
          <c:showPercent val="0"/>
          <c:showBubbleSize val="0"/>
        </c:dLbls>
        <c:gapWidth val="43"/>
        <c:shape val="cylinder"/>
        <c:axId val="1185924719"/>
        <c:axId val="959151567"/>
        <c:axId val="0"/>
      </c:bar3DChart>
      <c:catAx>
        <c:axId val="118592471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59151567"/>
        <c:crosses val="autoZero"/>
        <c:auto val="1"/>
        <c:lblAlgn val="ctr"/>
        <c:lblOffset val="100"/>
        <c:noMultiLvlLbl val="0"/>
      </c:catAx>
      <c:valAx>
        <c:axId val="9591515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8592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[Adecco_HR_Analytics_Working.xlsx]PVT_Attrition!PivotTable17</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rgbClr val="D95F5F"/>
            </a:solidFill>
            <a:round/>
          </a:ln>
          <a:effectLst>
            <a:outerShdw blurRad="57150" dist="19050" dir="5400000">
              <a:srgbClr val="000000">
                <a:alpha val="63000"/>
              </a:srgbClr>
            </a:outerShdw>
          </a:effectLst>
        </c:spPr>
        <c:marker>
          <c:symbol val="circle"/>
          <c:size val="6"/>
          <c:spPr>
            <a:solidFill>
              <a:srgbClr val="D95F5F"/>
            </a:solidFill>
            <a:ln w="9525">
              <a:solidFill>
                <a:srgbClr val="D95F5F"/>
              </a:solidFill>
              <a:round/>
            </a:ln>
            <a:effectLst>
              <a:outerShdw blurRad="57150" dist="19050" dir="540000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rgbClr val="7B77F2"/>
            </a:solidFill>
            <a:round/>
          </a:ln>
          <a:effectLst>
            <a:outerShdw blurRad="57150" dist="19050" dir="5400000">
              <a:srgbClr val="000000">
                <a:alpha val="63000"/>
              </a:srgbClr>
            </a:outerShdw>
          </a:effectLst>
        </c:spPr>
        <c:marker>
          <c:symbol val="circle"/>
          <c:size val="6"/>
          <c:spPr>
            <a:solidFill>
              <a:srgbClr val="7B77F2"/>
            </a:solidFill>
            <a:ln w="9525">
              <a:solidFill>
                <a:srgbClr val="7B77F2"/>
              </a:solidFill>
              <a:round/>
            </a:ln>
            <a:effectLst>
              <a:outerShdw blurRad="57150" dist="19050" dir="540000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PVT_Attrition!$AA$7:$AA$8</c:f>
              <c:strCache>
                <c:ptCount val="1"/>
                <c:pt idx="0">
                  <c:v>No</c:v>
                </c:pt>
              </c:strCache>
            </c:strRef>
          </c:tx>
          <c:spPr>
            <a:ln w="34925" cap="rnd">
              <a:solidFill>
                <a:srgbClr val="D95F5F"/>
              </a:solidFill>
              <a:round/>
            </a:ln>
            <a:effectLst>
              <a:outerShdw blurRad="57150" dist="19050" dir="5400000">
                <a:srgbClr val="000000">
                  <a:alpha val="63000"/>
                </a:srgbClr>
              </a:outerShdw>
            </a:effectLst>
          </c:spPr>
          <c:marker>
            <c:symbol val="circle"/>
            <c:size val="6"/>
            <c:spPr>
              <a:solidFill>
                <a:srgbClr val="D95F5F"/>
              </a:solidFill>
              <a:ln w="9525">
                <a:solidFill>
                  <a:srgbClr val="D95F5F"/>
                </a:solidFill>
                <a:round/>
              </a:ln>
              <a:effectLst>
                <a:outerShdw blurRad="57150" dist="19050" dir="5400000">
                  <a:srgbClr val="000000">
                    <a:alpha val="63000"/>
                  </a:srgbClr>
                </a:outerShdw>
              </a:effectLst>
            </c:spPr>
          </c:marker>
          <c:cat>
            <c:strRef>
              <c:f>PVT_Attrition!$Z$9:$Z$17</c:f>
              <c:strCache>
                <c:ptCount val="8"/>
                <c:pt idx="0">
                  <c:v>0-4</c:v>
                </c:pt>
                <c:pt idx="1">
                  <c:v>5-9</c:v>
                </c:pt>
                <c:pt idx="2">
                  <c:v>10-14</c:v>
                </c:pt>
                <c:pt idx="3">
                  <c:v>15-19</c:v>
                </c:pt>
                <c:pt idx="4">
                  <c:v>20-24</c:v>
                </c:pt>
                <c:pt idx="5">
                  <c:v>25-29</c:v>
                </c:pt>
                <c:pt idx="6">
                  <c:v>30-34</c:v>
                </c:pt>
                <c:pt idx="7">
                  <c:v>35-40</c:v>
                </c:pt>
              </c:strCache>
            </c:strRef>
          </c:cat>
          <c:val>
            <c:numRef>
              <c:f>PVT_Attrition!$AA$9:$AA$17</c:f>
              <c:numCache>
                <c:formatCode>0.00%</c:formatCode>
                <c:ptCount val="8"/>
                <c:pt idx="0">
                  <c:v>0.75689655172413794</c:v>
                </c:pt>
                <c:pt idx="1">
                  <c:v>0.88931297709923662</c:v>
                </c:pt>
                <c:pt idx="2">
                  <c:v>0.88461538461538458</c:v>
                </c:pt>
                <c:pt idx="3">
                  <c:v>0.92307692307692313</c:v>
                </c:pt>
                <c:pt idx="4">
                  <c:v>0.921875</c:v>
                </c:pt>
                <c:pt idx="5">
                  <c:v>1</c:v>
                </c:pt>
                <c:pt idx="6">
                  <c:v>0.76923076923076927</c:v>
                </c:pt>
                <c:pt idx="7">
                  <c:v>0.75</c:v>
                </c:pt>
              </c:numCache>
            </c:numRef>
          </c:val>
          <c:smooth val="1"/>
          <c:extLst>
            <c:ext xmlns:c16="http://schemas.microsoft.com/office/drawing/2014/chart" uri="{C3380CC4-5D6E-409C-BE32-E72D297353CC}">
              <c16:uniqueId val="{00000000-6EEF-4504-AEFB-A42CBF18C5B9}"/>
            </c:ext>
          </c:extLst>
        </c:ser>
        <c:ser>
          <c:idx val="1"/>
          <c:order val="1"/>
          <c:tx>
            <c:strRef>
              <c:f>PVT_Attrition!$AB$7:$AB$8</c:f>
              <c:strCache>
                <c:ptCount val="1"/>
                <c:pt idx="0">
                  <c:v>Yes</c:v>
                </c:pt>
              </c:strCache>
            </c:strRef>
          </c:tx>
          <c:spPr>
            <a:ln w="34925" cap="rnd">
              <a:solidFill>
                <a:srgbClr val="7B77F2"/>
              </a:solidFill>
              <a:round/>
            </a:ln>
            <a:effectLst>
              <a:outerShdw blurRad="57150" dist="19050" dir="5400000">
                <a:srgbClr val="000000">
                  <a:alpha val="63000"/>
                </a:srgbClr>
              </a:outerShdw>
            </a:effectLst>
          </c:spPr>
          <c:marker>
            <c:symbol val="circle"/>
            <c:size val="6"/>
            <c:spPr>
              <a:solidFill>
                <a:srgbClr val="7B77F2"/>
              </a:solidFill>
              <a:ln w="9525">
                <a:solidFill>
                  <a:srgbClr val="7B77F2"/>
                </a:solidFill>
                <a:round/>
              </a:ln>
              <a:effectLst>
                <a:outerShdw blurRad="57150" dist="19050" dir="5400000">
                  <a:srgbClr val="000000">
                    <a:alpha val="63000"/>
                  </a:srgbClr>
                </a:outerShdw>
              </a:effectLst>
            </c:spPr>
          </c:marker>
          <c:cat>
            <c:strRef>
              <c:f>PVT_Attrition!$Z$9:$Z$17</c:f>
              <c:strCache>
                <c:ptCount val="8"/>
                <c:pt idx="0">
                  <c:v>0-4</c:v>
                </c:pt>
                <c:pt idx="1">
                  <c:v>5-9</c:v>
                </c:pt>
                <c:pt idx="2">
                  <c:v>10-14</c:v>
                </c:pt>
                <c:pt idx="3">
                  <c:v>15-19</c:v>
                </c:pt>
                <c:pt idx="4">
                  <c:v>20-24</c:v>
                </c:pt>
                <c:pt idx="5">
                  <c:v>25-29</c:v>
                </c:pt>
                <c:pt idx="6">
                  <c:v>30-34</c:v>
                </c:pt>
                <c:pt idx="7">
                  <c:v>35-40</c:v>
                </c:pt>
              </c:strCache>
            </c:strRef>
          </c:cat>
          <c:val>
            <c:numRef>
              <c:f>PVT_Attrition!$AB$9:$AB$17</c:f>
              <c:numCache>
                <c:formatCode>0.00%</c:formatCode>
                <c:ptCount val="8"/>
                <c:pt idx="0">
                  <c:v>0.24310344827586206</c:v>
                </c:pt>
                <c:pt idx="1">
                  <c:v>0.11068702290076336</c:v>
                </c:pt>
                <c:pt idx="2">
                  <c:v>0.11538461538461539</c:v>
                </c:pt>
                <c:pt idx="3">
                  <c:v>7.6923076923076927E-2</c:v>
                </c:pt>
                <c:pt idx="4">
                  <c:v>7.8125E-2</c:v>
                </c:pt>
                <c:pt idx="5">
                  <c:v>0</c:v>
                </c:pt>
                <c:pt idx="6">
                  <c:v>0.23076923076923078</c:v>
                </c:pt>
                <c:pt idx="7">
                  <c:v>0.25</c:v>
                </c:pt>
              </c:numCache>
            </c:numRef>
          </c:val>
          <c:smooth val="0"/>
          <c:extLst>
            <c:ext xmlns:c16="http://schemas.microsoft.com/office/drawing/2014/chart" uri="{C3380CC4-5D6E-409C-BE32-E72D297353CC}">
              <c16:uniqueId val="{00000003-6EEF-4504-AEFB-A42CBF18C5B9}"/>
            </c:ext>
          </c:extLst>
        </c:ser>
        <c:dLbls>
          <c:showLegendKey val="0"/>
          <c:showVal val="0"/>
          <c:showCatName val="0"/>
          <c:showSerName val="0"/>
          <c:showPercent val="0"/>
          <c:showBubbleSize val="0"/>
        </c:dLbls>
        <c:marker val="1"/>
        <c:smooth val="0"/>
        <c:axId val="1185891775"/>
        <c:axId val="959082927"/>
      </c:lineChart>
      <c:catAx>
        <c:axId val="11858917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082927"/>
        <c:crosses val="autoZero"/>
        <c:auto val="1"/>
        <c:lblAlgn val="ctr"/>
        <c:lblOffset val="100"/>
        <c:noMultiLvlLbl val="0"/>
      </c:catAx>
      <c:valAx>
        <c:axId val="959082927"/>
        <c:scaling>
          <c:orientation val="minMax"/>
          <c:max val="1"/>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891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[Adecco_HR_Analytics_Working.xlsx]PVT_KPI!PivotTable18</c:name>
    <c:fmtId val="4"/>
  </c:pivotSource>
  <c:chart>
    <c:title>
      <c:tx>
        <c:rich>
          <a:bodyPr rot="0" spcFirstLastPara="1" vertOverflow="ellipsis" vert="horz" wrap="square" anchor="ctr" anchorCtr="1"/>
          <a:lstStyle/>
          <a:p>
            <a:pPr>
              <a:defRPr sz="1100" b="0" i="0" u="none" strike="noStrike" kern="1200" baseline="0">
                <a:solidFill>
                  <a:srgbClr val="7B77F2"/>
                </a:solidFill>
                <a:latin typeface="Arial" panose="020B0604020202020204" pitchFamily="34" charset="0"/>
                <a:ea typeface="+mn-ea"/>
                <a:cs typeface="Arial" panose="020B0604020202020204" pitchFamily="34" charset="0"/>
              </a:defRPr>
            </a:pPr>
            <a:r>
              <a:rPr lang="en-IN" sz="1100" b="0">
                <a:solidFill>
                  <a:srgbClr val="7B77F2"/>
                </a:solidFill>
                <a:latin typeface="Arial" panose="020B0604020202020204" pitchFamily="34" charset="0"/>
                <a:cs typeface="Arial" panose="020B0604020202020204" pitchFamily="34" charset="0"/>
              </a:rPr>
              <a:t>Employees by Attrition Status</a:t>
            </a:r>
            <a:endParaRPr lang="en-US" sz="1100" b="0">
              <a:solidFill>
                <a:srgbClr val="7B77F2"/>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100" b="0" i="0" u="none" strike="noStrike" kern="1200" baseline="0">
              <a:solidFill>
                <a:srgbClr val="7B77F2"/>
              </a:solidFill>
              <a:latin typeface="Arial" panose="020B0604020202020204" pitchFamily="34" charset="0"/>
              <a:ea typeface="+mn-ea"/>
              <a:cs typeface="Arial" panose="020B060402020202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rgbClr val="7B77F2"/>
          </a:solidFill>
          <a:ln>
            <a:noFill/>
          </a:ln>
          <a:effectLst>
            <a:outerShdw blurRad="57150" dist="19050" dir="5400000">
              <a:srgbClr val="000000">
                <a:alpha val="63000"/>
              </a:srgbClr>
            </a:outerShdw>
          </a:effectLst>
        </c:spPr>
      </c:pivotFmt>
      <c:pivotFmt>
        <c:idx val="14"/>
        <c:spPr>
          <a:solidFill>
            <a:srgbClr val="D95F5F"/>
          </a:solidFill>
          <a:ln>
            <a:noFill/>
          </a:ln>
          <a:effectLst>
            <a:outerShdw blurRad="57150" dist="19050" dir="5400000">
              <a:srgbClr val="000000">
                <a:alpha val="63000"/>
              </a:srgbClr>
            </a:outerShdw>
          </a:effectLst>
        </c:spPr>
      </c:pivotFmt>
      <c:pivotFmt>
        <c:idx val="15"/>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6"/>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c:spPr>
      </c:pivotFmt>
      <c:pivotFmt>
        <c:idx val="17"/>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c:spPr>
      </c:pivotFmt>
      <c:pivotFmt>
        <c:idx val="18"/>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9"/>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c:spPr>
      </c:pivotFmt>
      <c:pivotFmt>
        <c:idx val="20"/>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c:spPr>
      </c:pivotFmt>
    </c:pivotFmts>
    <c:plotArea>
      <c:layout/>
      <c:pieChart>
        <c:varyColors val="1"/>
        <c:ser>
          <c:idx val="0"/>
          <c:order val="0"/>
          <c:tx>
            <c:strRef>
              <c:f>PVT_KPI!$B$1</c:f>
              <c:strCache>
                <c:ptCount val="1"/>
                <c:pt idx="0">
                  <c:v>Employee Count</c:v>
                </c:pt>
              </c:strCache>
            </c:strRef>
          </c:tx>
          <c:explosion val="4"/>
          <c:dPt>
            <c:idx val="0"/>
            <c:bubble3D val="0"/>
            <c:spPr>
              <a:solidFill>
                <a:srgbClr val="7B77F2"/>
              </a:solidFill>
              <a:ln>
                <a:noFill/>
              </a:ln>
              <a:effectLst>
                <a:outerShdw blurRad="57150" dist="19050" dir="5400000">
                  <a:srgbClr val="000000">
                    <a:alpha val="63000"/>
                  </a:srgbClr>
                </a:outerShdw>
              </a:effectLst>
            </c:spPr>
            <c:extLst>
              <c:ext xmlns:c16="http://schemas.microsoft.com/office/drawing/2014/chart" uri="{C3380CC4-5D6E-409C-BE32-E72D297353CC}">
                <c16:uniqueId val="{00000001-3C06-45D7-A3E8-91CAE8F94022}"/>
              </c:ext>
            </c:extLst>
          </c:dPt>
          <c:dPt>
            <c:idx val="1"/>
            <c:bubble3D val="0"/>
            <c:spPr>
              <a:solidFill>
                <a:srgbClr val="D95F5F"/>
              </a:solidFill>
              <a:ln>
                <a:noFill/>
              </a:ln>
              <a:effectLst>
                <a:outerShdw blurRad="57150" dist="19050" dir="5400000">
                  <a:srgbClr val="000000">
                    <a:alpha val="63000"/>
                  </a:srgbClr>
                </a:outerShdw>
              </a:effectLst>
            </c:spPr>
            <c:extLst>
              <c:ext xmlns:c16="http://schemas.microsoft.com/office/drawing/2014/chart" uri="{C3380CC4-5D6E-409C-BE32-E72D297353CC}">
                <c16:uniqueId val="{00000003-3C06-45D7-A3E8-91CAE8F940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PVT_KPI!$A$2:$A$4</c:f>
              <c:strCache>
                <c:ptCount val="2"/>
                <c:pt idx="0">
                  <c:v>No</c:v>
                </c:pt>
                <c:pt idx="1">
                  <c:v>Yes</c:v>
                </c:pt>
              </c:strCache>
            </c:strRef>
          </c:cat>
          <c:val>
            <c:numRef>
              <c:f>PVT_KPI!$B$2:$B$4</c:f>
              <c:numCache>
                <c:formatCode>General</c:formatCode>
                <c:ptCount val="2"/>
                <c:pt idx="0">
                  <c:v>1233</c:v>
                </c:pt>
                <c:pt idx="1">
                  <c:v>237</c:v>
                </c:pt>
              </c:numCache>
            </c:numRef>
          </c:val>
          <c:extLst>
            <c:ext xmlns:c16="http://schemas.microsoft.com/office/drawing/2014/chart" uri="{C3380CC4-5D6E-409C-BE32-E72D297353CC}">
              <c16:uniqueId val="{00000004-3C06-45D7-A3E8-91CAE8F94022}"/>
            </c:ext>
          </c:extLst>
        </c:ser>
        <c:ser>
          <c:idx val="1"/>
          <c:order val="1"/>
          <c:tx>
            <c:strRef>
              <c:f>PVT_KPI!$C$1</c:f>
              <c:strCache>
                <c:ptCount val="1"/>
                <c:pt idx="0">
                  <c:v>Average Job Satisfaction</c:v>
                </c:pt>
              </c:strCache>
            </c:strRef>
          </c:tx>
          <c:dPt>
            <c:idx val="0"/>
            <c:bubble3D val="0"/>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c:spPr>
            <c:extLst>
              <c:ext xmlns:c16="http://schemas.microsoft.com/office/drawing/2014/chart" uri="{C3380CC4-5D6E-409C-BE32-E72D297353CC}">
                <c16:uniqueId val="{00000006-3C06-45D7-A3E8-91CAE8F94022}"/>
              </c:ext>
            </c:extLst>
          </c:dPt>
          <c:dPt>
            <c:idx val="1"/>
            <c:bubble3D val="0"/>
            <c:spPr>
              <a:gradFill>
                <a:gsLst>
                  <a:gs pos="0">
                    <a:schemeClr val="accent2">
                      <a:tint val="94000"/>
                      <a:lumMod val="102000"/>
                      <a:satMod val="103000"/>
                    </a:schemeClr>
                  </a:gs>
                  <a:gs pos="50000">
                    <a:schemeClr val="accent2">
                      <a:shade val="100000"/>
                      <a:lumMod val="100000"/>
                      <a:satMod val="110000"/>
                    </a:schemeClr>
                  </a:gs>
                  <a:gs pos="100000">
                    <a:schemeClr val="accent2">
                      <a:shade val="78000"/>
                      <a:lumMod val="99000"/>
                      <a:satMod val="120000"/>
                    </a:schemeClr>
                  </a:gs>
                </a:gsLst>
                <a:lin ang="5400000" scaled="0"/>
              </a:gradFill>
              <a:ln>
                <a:noFill/>
              </a:ln>
              <a:effectLst>
                <a:outerShdw blurRad="57150" dist="19050" dir="5400000">
                  <a:srgbClr val="000000">
                    <a:alpha val="63000"/>
                  </a:srgbClr>
                </a:outerShdw>
              </a:effectLst>
            </c:spPr>
            <c:extLst>
              <c:ext xmlns:c16="http://schemas.microsoft.com/office/drawing/2014/chart" uri="{C3380CC4-5D6E-409C-BE32-E72D297353CC}">
                <c16:uniqueId val="{00000008-3C06-45D7-A3E8-91CAE8F940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PVT_KPI!$A$2:$A$4</c:f>
              <c:strCache>
                <c:ptCount val="2"/>
                <c:pt idx="0">
                  <c:v>No</c:v>
                </c:pt>
                <c:pt idx="1">
                  <c:v>Yes</c:v>
                </c:pt>
              </c:strCache>
            </c:strRef>
          </c:cat>
          <c:val>
            <c:numRef>
              <c:f>PVT_KPI!$C$2:$C$4</c:f>
              <c:numCache>
                <c:formatCode>0.00</c:formatCode>
                <c:ptCount val="2"/>
                <c:pt idx="0">
                  <c:v>2.778588807785888</c:v>
                </c:pt>
                <c:pt idx="1">
                  <c:v>2.4683544303797467</c:v>
                </c:pt>
              </c:numCache>
            </c:numRef>
          </c:val>
          <c:extLst>
            <c:ext xmlns:c16="http://schemas.microsoft.com/office/drawing/2014/chart" uri="{C3380CC4-5D6E-409C-BE32-E72D297353CC}">
              <c16:uniqueId val="{00000009-3C06-45D7-A3E8-91CAE8F94022}"/>
            </c:ext>
          </c:extLst>
        </c:ser>
        <c:ser>
          <c:idx val="2"/>
          <c:order val="2"/>
          <c:tx>
            <c:strRef>
              <c:f>PVT_KPI!$D$1</c:f>
              <c:strCache>
                <c:ptCount val="1"/>
                <c:pt idx="0">
                  <c:v>Average Employee Tenure </c:v>
                </c:pt>
              </c:strCache>
            </c:strRef>
          </c:tx>
          <c:dPt>
            <c:idx val="0"/>
            <c:bubble3D val="0"/>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a:noFill/>
              </a:ln>
              <a:effectLst>
                <a:outerShdw blurRad="57150" dist="19050" dir="5400000">
                  <a:srgbClr val="000000">
                    <a:alpha val="63000"/>
                  </a:srgbClr>
                </a:outerShdw>
              </a:effectLst>
            </c:spPr>
            <c:extLst>
              <c:ext xmlns:c16="http://schemas.microsoft.com/office/drawing/2014/chart" uri="{C3380CC4-5D6E-409C-BE32-E72D297353CC}">
                <c16:uniqueId val="{0000000B-3C06-45D7-A3E8-91CAE8F94022}"/>
              </c:ext>
            </c:extLst>
          </c:dPt>
          <c:dPt>
            <c:idx val="1"/>
            <c:bubble3D val="0"/>
            <c:spPr>
              <a:gradFill>
                <a:gsLst>
                  <a:gs pos="0">
                    <a:schemeClr val="accent2">
                      <a:tint val="94000"/>
                      <a:lumMod val="102000"/>
                      <a:satMod val="103000"/>
                    </a:schemeClr>
                  </a:gs>
                  <a:gs pos="50000">
                    <a:schemeClr val="accent2">
                      <a:shade val="100000"/>
                      <a:lumMod val="100000"/>
                      <a:satMod val="110000"/>
                    </a:schemeClr>
                  </a:gs>
                  <a:gs pos="100000">
                    <a:schemeClr val="accent2">
                      <a:shade val="78000"/>
                      <a:lumMod val="99000"/>
                      <a:satMod val="120000"/>
                    </a:schemeClr>
                  </a:gs>
                </a:gsLst>
                <a:lin ang="5400000" scaled="0"/>
              </a:gradFill>
              <a:ln>
                <a:noFill/>
              </a:ln>
              <a:effectLst>
                <a:outerShdw blurRad="57150" dist="19050" dir="5400000">
                  <a:srgbClr val="000000">
                    <a:alpha val="63000"/>
                  </a:srgbClr>
                </a:outerShdw>
              </a:effectLst>
            </c:spPr>
            <c:extLst>
              <c:ext xmlns:c16="http://schemas.microsoft.com/office/drawing/2014/chart" uri="{C3380CC4-5D6E-409C-BE32-E72D297353CC}">
                <c16:uniqueId val="{0000000D-3C06-45D7-A3E8-91CAE8F940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PVT_KPI!$A$2:$A$4</c:f>
              <c:strCache>
                <c:ptCount val="2"/>
                <c:pt idx="0">
                  <c:v>No</c:v>
                </c:pt>
                <c:pt idx="1">
                  <c:v>Yes</c:v>
                </c:pt>
              </c:strCache>
            </c:strRef>
          </c:cat>
          <c:val>
            <c:numRef>
              <c:f>PVT_KPI!$D$2:$D$4</c:f>
              <c:numCache>
                <c:formatCode>0.00</c:formatCode>
                <c:ptCount val="2"/>
                <c:pt idx="0">
                  <c:v>7.3690186536901869</c:v>
                </c:pt>
                <c:pt idx="1">
                  <c:v>5.1308016877637135</c:v>
                </c:pt>
              </c:numCache>
            </c:numRef>
          </c:val>
          <c:extLst>
            <c:ext xmlns:c16="http://schemas.microsoft.com/office/drawing/2014/chart" uri="{C3380CC4-5D6E-409C-BE32-E72D297353CC}">
              <c16:uniqueId val="{0000000E-3C06-45D7-A3E8-91CAE8F94022}"/>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[Adecco_HR_Analytics_Working.xlsx]PVT_Engagement!PivotTable3</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100" b="0">
                <a:solidFill>
                  <a:srgbClr val="7B77F2"/>
                </a:solidFill>
                <a:latin typeface="Arial" panose="020B0604020202020204" pitchFamily="34" charset="0"/>
                <a:cs typeface="Arial" panose="020B0604020202020204" pitchFamily="34" charset="0"/>
              </a:rPr>
              <a:t>Average Job Satisfaction by Job Role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B77F2"/>
          </a:solidFill>
          <a:ln>
            <a:solidFill>
              <a:srgbClr val="7B77F2"/>
            </a:solidFill>
          </a:ln>
          <a:effectLst>
            <a:outerShdw blurRad="57150" dist="19050" dir="5400000">
              <a:srgbClr val="000000">
                <a:alpha val="63000"/>
              </a:srgbClr>
            </a:outerShdw>
          </a:effectLst>
        </c:spPr>
        <c:marker>
          <c:symbol val="diamond"/>
          <c:size val="5"/>
          <c:spPr>
            <a:gradFill>
              <a:gsLst>
                <a:gs pos="0">
                  <a:schemeClr val="accent1">
                    <a:tint val="94000"/>
                    <a:lumMod val="102000"/>
                    <a:satMod val="103000"/>
                  </a:schemeClr>
                </a:gs>
                <a:gs pos="50000">
                  <a:schemeClr val="accent1">
                    <a:shade val="100000"/>
                    <a:lumMod val="100000"/>
                    <a:satMod val="110000"/>
                  </a:schemeClr>
                </a:gs>
                <a:gs pos="100000">
                  <a:schemeClr val="accent1">
                    <a:shade val="78000"/>
                    <a:lumMod val="99000"/>
                    <a:satMod val="120000"/>
                  </a:schemeClr>
                </a:gs>
              </a:gsLst>
              <a:lin ang="5400000" scaled="0"/>
            </a:gradFill>
            <a:ln w="9525">
              <a:solidFill>
                <a:schemeClr val="accent1"/>
              </a:solidFill>
              <a:round/>
            </a:ln>
            <a:effectLst>
              <a:outerShdw blurRad="57150" dist="19050" dir="540000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7B77F2"/>
          </a:solidFill>
          <a:ln>
            <a:solidFill>
              <a:srgbClr val="7B77F2"/>
            </a:solidFill>
          </a:ln>
          <a:effectLst>
            <a:outerShdw blurRad="57150" dist="19050" dir="540000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B77F2"/>
          </a:solidFill>
          <a:ln>
            <a:solidFill>
              <a:srgbClr val="7B77F2"/>
            </a:solidFill>
          </a:ln>
          <a:effectLst>
            <a:outerShdw blurRad="57150" dist="19050" dir="540000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PVT_Engagement!$B$3</c:f>
              <c:strCache>
                <c:ptCount val="1"/>
                <c:pt idx="0">
                  <c:v>Total</c:v>
                </c:pt>
              </c:strCache>
            </c:strRef>
          </c:tx>
          <c:spPr>
            <a:solidFill>
              <a:srgbClr val="7B77F2"/>
            </a:solidFill>
            <a:ln>
              <a:solidFill>
                <a:srgbClr val="7B77F2"/>
              </a:solidFill>
            </a:ln>
            <a:effectLst>
              <a:outerShdw blurRad="57150" dist="19050" dir="540000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PVT_Engagement!$A$4:$A$13</c:f>
              <c:strCache>
                <c:ptCount val="9"/>
                <c:pt idx="0">
                  <c:v>Human Resources</c:v>
                </c:pt>
                <c:pt idx="1">
                  <c:v>Manufacturing Director</c:v>
                </c:pt>
                <c:pt idx="2">
                  <c:v>Laboratory Technician</c:v>
                </c:pt>
                <c:pt idx="3">
                  <c:v>Research Director</c:v>
                </c:pt>
                <c:pt idx="4">
                  <c:v>Manager</c:v>
                </c:pt>
                <c:pt idx="5">
                  <c:v>Sales Representative</c:v>
                </c:pt>
                <c:pt idx="6">
                  <c:v>Sales Executive</c:v>
                </c:pt>
                <c:pt idx="7">
                  <c:v>Research Scientist</c:v>
                </c:pt>
                <c:pt idx="8">
                  <c:v>Healthcare Representative</c:v>
                </c:pt>
              </c:strCache>
            </c:strRef>
          </c:cat>
          <c:val>
            <c:numRef>
              <c:f>PVT_Engagement!$B$4:$B$13</c:f>
              <c:numCache>
                <c:formatCode>0.00</c:formatCode>
                <c:ptCount val="9"/>
                <c:pt idx="0">
                  <c:v>2.5576923076923075</c:v>
                </c:pt>
                <c:pt idx="1">
                  <c:v>2.682758620689655</c:v>
                </c:pt>
                <c:pt idx="2">
                  <c:v>2.6911196911196913</c:v>
                </c:pt>
                <c:pt idx="3">
                  <c:v>2.7</c:v>
                </c:pt>
                <c:pt idx="4">
                  <c:v>2.7058823529411766</c:v>
                </c:pt>
                <c:pt idx="5">
                  <c:v>2.7349397590361444</c:v>
                </c:pt>
                <c:pt idx="6">
                  <c:v>2.7546012269938651</c:v>
                </c:pt>
                <c:pt idx="7">
                  <c:v>2.7739726027397262</c:v>
                </c:pt>
                <c:pt idx="8">
                  <c:v>2.7862595419847329</c:v>
                </c:pt>
              </c:numCache>
            </c:numRef>
          </c:val>
          <c:extLst>
            <c:ext xmlns:c16="http://schemas.microsoft.com/office/drawing/2014/chart" uri="{C3380CC4-5D6E-409C-BE32-E72D297353CC}">
              <c16:uniqueId val="{00000000-2DE0-42A3-B31F-50EB7B21BCB4}"/>
            </c:ext>
          </c:extLst>
        </c:ser>
        <c:dLbls>
          <c:showLegendKey val="0"/>
          <c:showVal val="0"/>
          <c:showCatName val="0"/>
          <c:showSerName val="0"/>
          <c:showPercent val="0"/>
          <c:showBubbleSize val="0"/>
        </c:dLbls>
        <c:gapWidth val="115"/>
        <c:overlap val="-20"/>
        <c:axId val="1245284879"/>
        <c:axId val="1010136975"/>
      </c:barChart>
      <c:valAx>
        <c:axId val="101013697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284879"/>
        <c:crosses val="autoZero"/>
        <c:crossBetween val="between"/>
      </c:valAx>
      <c:catAx>
        <c:axId val="1245284879"/>
        <c:scaling>
          <c:orientation val="minMax"/>
        </c:scaling>
        <c:delete val="0"/>
        <c:axPos val="l"/>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013697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5</xdr:rowOff>
    </xdr:from>
    <xdr:to>
      <xdr:col>2</xdr:col>
      <xdr:colOff>657223</xdr:colOff>
      <xdr:row>38</xdr:row>
      <xdr:rowOff>67736</xdr:rowOff>
    </xdr:to>
    <xdr:sp macro="" textlink="">
      <xdr:nvSpPr>
        <xdr:cNvPr id="3" name="Rectangle: Top Corners Rounded 2">
          <a:extLst>
            <a:ext uri="{FF2B5EF4-FFF2-40B4-BE49-F238E27FC236}">
              <a16:creationId xmlns:a16="http://schemas.microsoft.com/office/drawing/2014/main" id="{CB68E2C0-37D2-9D4E-AD15-3059A0ACD63F}"/>
            </a:ext>
          </a:extLst>
        </xdr:cNvPr>
        <xdr:cNvSpPr/>
      </xdr:nvSpPr>
      <xdr:spPr>
        <a:xfrm rot="5400000">
          <a:off x="-2414588" y="2414593"/>
          <a:ext cx="6824131" cy="1994956"/>
        </a:xfrm>
        <a:prstGeom prst="round2SameRect">
          <a:avLst/>
        </a:prstGeom>
        <a:gradFill flip="none" rotWithShape="1">
          <a:gsLst>
            <a:gs pos="30000">
              <a:srgbClr val="F2F2F2">
                <a:lumMod val="100000"/>
                <a:alpha val="60000"/>
              </a:srgbClr>
            </a:gs>
            <a:gs pos="71000">
              <a:srgbClr val="9E9BF2">
                <a:alpha val="60000"/>
              </a:srgbClr>
            </a:gs>
            <a:gs pos="100000">
              <a:srgbClr val="7B77F2">
                <a:lumMod val="100000"/>
              </a:srgb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579965</xdr:colOff>
      <xdr:row>0</xdr:row>
      <xdr:rowOff>0</xdr:rowOff>
    </xdr:from>
    <xdr:to>
      <xdr:col>26</xdr:col>
      <xdr:colOff>610657</xdr:colOff>
      <xdr:row>38</xdr:row>
      <xdr:rowOff>8466</xdr:rowOff>
    </xdr:to>
    <xdr:sp macro="" textlink="">
      <xdr:nvSpPr>
        <xdr:cNvPr id="4" name="Rectangle 3">
          <a:extLst>
            <a:ext uri="{FF2B5EF4-FFF2-40B4-BE49-F238E27FC236}">
              <a16:creationId xmlns:a16="http://schemas.microsoft.com/office/drawing/2014/main" id="{B7503024-96F3-86F7-D5EB-34377FA29C56}"/>
            </a:ext>
          </a:extLst>
        </xdr:cNvPr>
        <xdr:cNvSpPr/>
      </xdr:nvSpPr>
      <xdr:spPr>
        <a:xfrm>
          <a:off x="1917698" y="0"/>
          <a:ext cx="16083492" cy="676486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85726</xdr:colOff>
      <xdr:row>1</xdr:row>
      <xdr:rowOff>160866</xdr:rowOff>
    </xdr:from>
    <xdr:to>
      <xdr:col>6</xdr:col>
      <xdr:colOff>228600</xdr:colOff>
      <xdr:row>6</xdr:row>
      <xdr:rowOff>67733</xdr:rowOff>
    </xdr:to>
    <xdr:grpSp>
      <xdr:nvGrpSpPr>
        <xdr:cNvPr id="20" name="Group 19">
          <a:extLst>
            <a:ext uri="{FF2B5EF4-FFF2-40B4-BE49-F238E27FC236}">
              <a16:creationId xmlns:a16="http://schemas.microsoft.com/office/drawing/2014/main" id="{7B57A8FE-97AD-E737-5C73-11FAED763DFE}"/>
            </a:ext>
          </a:extLst>
        </xdr:cNvPr>
        <xdr:cNvGrpSpPr/>
      </xdr:nvGrpSpPr>
      <xdr:grpSpPr>
        <a:xfrm>
          <a:off x="2092326" y="338666"/>
          <a:ext cx="2149474" cy="795867"/>
          <a:chOff x="2397126" y="282575"/>
          <a:chExt cx="2149474" cy="885825"/>
        </a:xfrm>
      </xdr:grpSpPr>
      <xdr:sp macro="" textlink="PVT_KPI!F2">
        <xdr:nvSpPr>
          <xdr:cNvPr id="5" name="Rectangle: Rounded Corners 4">
            <a:extLst>
              <a:ext uri="{FF2B5EF4-FFF2-40B4-BE49-F238E27FC236}">
                <a16:creationId xmlns:a16="http://schemas.microsoft.com/office/drawing/2014/main" id="{DA15B874-AC1C-620E-044E-8D43A90C0A41}"/>
              </a:ext>
            </a:extLst>
          </xdr:cNvPr>
          <xdr:cNvSpPr/>
        </xdr:nvSpPr>
        <xdr:spPr>
          <a:xfrm>
            <a:off x="2397126" y="282575"/>
            <a:ext cx="2149474" cy="885825"/>
          </a:xfrm>
          <a:prstGeom prst="roundRect">
            <a:avLst>
              <a:gd name="adj" fmla="val 22549"/>
            </a:avLst>
          </a:prstGeom>
          <a:solidFill>
            <a:schemeClr val="bg1"/>
          </a:solidFill>
          <a:ln>
            <a:solidFill>
              <a:srgbClr val="C6C4F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E7804A70-2DC7-46F5-8DB1-5D1AA6CD2B22}" type="TxLink">
              <a:rPr lang="en-US" sz="1600" b="1" i="0" u="none" strike="noStrike">
                <a:solidFill>
                  <a:srgbClr val="7B77F2"/>
                </a:solidFill>
                <a:latin typeface="Arial" panose="020B0604020202020204" pitchFamily="34" charset="0"/>
                <a:cs typeface="Arial" panose="020B0604020202020204" pitchFamily="34" charset="0"/>
              </a:rPr>
              <a:pPr algn="l"/>
              <a:t> 1,470 </a:t>
            </a:fld>
            <a:endParaRPr lang="en-US" sz="1600" b="1">
              <a:solidFill>
                <a:srgbClr val="7B77F2"/>
              </a:solidFill>
              <a:latin typeface="Arial" panose="020B0604020202020204" pitchFamily="34" charset="0"/>
              <a:cs typeface="Arial" panose="020B0604020202020204" pitchFamily="34" charset="0"/>
            </a:endParaRPr>
          </a:p>
        </xdr:txBody>
      </xdr:sp>
      <xdr:sp macro="" textlink="">
        <xdr:nvSpPr>
          <xdr:cNvPr id="7" name="TextBox 6">
            <a:extLst>
              <a:ext uri="{FF2B5EF4-FFF2-40B4-BE49-F238E27FC236}">
                <a16:creationId xmlns:a16="http://schemas.microsoft.com/office/drawing/2014/main" id="{E1BC9298-9860-0909-A3A4-F0BD1FA7EE1C}"/>
              </a:ext>
            </a:extLst>
          </xdr:cNvPr>
          <xdr:cNvSpPr txBox="1"/>
        </xdr:nvSpPr>
        <xdr:spPr>
          <a:xfrm>
            <a:off x="2429934" y="299509"/>
            <a:ext cx="1528233" cy="282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0">
                <a:solidFill>
                  <a:srgbClr val="7B77F2"/>
                </a:solidFill>
                <a:latin typeface="Arial" panose="020B0604020202020204" pitchFamily="34" charset="0"/>
                <a:cs typeface="Arial" panose="020B0604020202020204" pitchFamily="34" charset="0"/>
              </a:rPr>
              <a:t>Total Employees</a:t>
            </a:r>
          </a:p>
        </xdr:txBody>
      </xdr:sp>
    </xdr:grpSp>
    <xdr:clientData/>
  </xdr:twoCellAnchor>
  <xdr:twoCellAnchor>
    <xdr:from>
      <xdr:col>7</xdr:col>
      <xdr:colOff>76994</xdr:colOff>
      <xdr:row>1</xdr:row>
      <xdr:rowOff>160866</xdr:rowOff>
    </xdr:from>
    <xdr:to>
      <xdr:col>10</xdr:col>
      <xdr:colOff>219868</xdr:colOff>
      <xdr:row>6</xdr:row>
      <xdr:rowOff>67466</xdr:rowOff>
    </xdr:to>
    <xdr:grpSp>
      <xdr:nvGrpSpPr>
        <xdr:cNvPr id="21" name="Group 20">
          <a:extLst>
            <a:ext uri="{FF2B5EF4-FFF2-40B4-BE49-F238E27FC236}">
              <a16:creationId xmlns:a16="http://schemas.microsoft.com/office/drawing/2014/main" id="{5A080B05-F62E-A296-6390-B1FA840907BE}"/>
            </a:ext>
          </a:extLst>
        </xdr:cNvPr>
        <xdr:cNvGrpSpPr/>
      </xdr:nvGrpSpPr>
      <xdr:grpSpPr>
        <a:xfrm>
          <a:off x="4759061" y="338666"/>
          <a:ext cx="2149474" cy="795600"/>
          <a:chOff x="5064126" y="282575"/>
          <a:chExt cx="2149474" cy="885825"/>
        </a:xfrm>
      </xdr:grpSpPr>
      <xdr:sp macro="" textlink="PVT_KPI!F3">
        <xdr:nvSpPr>
          <xdr:cNvPr id="11" name="Rectangle: Rounded Corners 10">
            <a:extLst>
              <a:ext uri="{FF2B5EF4-FFF2-40B4-BE49-F238E27FC236}">
                <a16:creationId xmlns:a16="http://schemas.microsoft.com/office/drawing/2014/main" id="{8690FD4D-F6E5-E67F-DD9E-EB07EC7913F1}"/>
              </a:ext>
            </a:extLst>
          </xdr:cNvPr>
          <xdr:cNvSpPr/>
        </xdr:nvSpPr>
        <xdr:spPr>
          <a:xfrm>
            <a:off x="5064126" y="282575"/>
            <a:ext cx="2149474" cy="885825"/>
          </a:xfrm>
          <a:prstGeom prst="roundRect">
            <a:avLst>
              <a:gd name="adj" fmla="val 22549"/>
            </a:avLst>
          </a:prstGeom>
          <a:solidFill>
            <a:schemeClr val="bg1"/>
          </a:solidFill>
          <a:ln>
            <a:solidFill>
              <a:srgbClr val="C6C4F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236C97E4-C869-4F63-8069-374046FB5728}" type="TxLink">
              <a:rPr lang="en-US" sz="1600" b="1" i="0" u="none" strike="noStrike">
                <a:solidFill>
                  <a:srgbClr val="7B77F2"/>
                </a:solidFill>
                <a:latin typeface="Arial" panose="020B0604020202020204" pitchFamily="34" charset="0"/>
                <a:cs typeface="Arial" panose="020B0604020202020204" pitchFamily="34" charset="0"/>
              </a:rPr>
              <a:pPr algn="l"/>
              <a:t>237</a:t>
            </a:fld>
            <a:endParaRPr lang="en-US" sz="1600" b="1">
              <a:solidFill>
                <a:srgbClr val="7B77F2"/>
              </a:solidFill>
              <a:latin typeface="Arial" panose="020B0604020202020204" pitchFamily="34" charset="0"/>
              <a:cs typeface="Arial" panose="020B0604020202020204" pitchFamily="34" charset="0"/>
            </a:endParaRPr>
          </a:p>
        </xdr:txBody>
      </xdr:sp>
      <xdr:sp macro="" textlink="">
        <xdr:nvSpPr>
          <xdr:cNvPr id="15" name="TextBox 14">
            <a:extLst>
              <a:ext uri="{FF2B5EF4-FFF2-40B4-BE49-F238E27FC236}">
                <a16:creationId xmlns:a16="http://schemas.microsoft.com/office/drawing/2014/main" id="{740F60EC-CD33-1C9A-0661-BFC010073FD3}"/>
              </a:ext>
            </a:extLst>
          </xdr:cNvPr>
          <xdr:cNvSpPr txBox="1"/>
        </xdr:nvSpPr>
        <xdr:spPr>
          <a:xfrm>
            <a:off x="5088467" y="316442"/>
            <a:ext cx="1528233" cy="282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0">
                <a:solidFill>
                  <a:srgbClr val="7B77F2"/>
                </a:solidFill>
                <a:latin typeface="Arial" panose="020B0604020202020204" pitchFamily="34" charset="0"/>
                <a:cs typeface="Arial" panose="020B0604020202020204" pitchFamily="34" charset="0"/>
              </a:rPr>
              <a:t>Attrition Cases</a:t>
            </a:r>
          </a:p>
        </xdr:txBody>
      </xdr:sp>
    </xdr:grpSp>
    <xdr:clientData/>
  </xdr:twoCellAnchor>
  <xdr:twoCellAnchor>
    <xdr:from>
      <xdr:col>11</xdr:col>
      <xdr:colOff>347663</xdr:colOff>
      <xdr:row>1</xdr:row>
      <xdr:rowOff>160866</xdr:rowOff>
    </xdr:from>
    <xdr:to>
      <xdr:col>14</xdr:col>
      <xdr:colOff>490537</xdr:colOff>
      <xdr:row>6</xdr:row>
      <xdr:rowOff>67466</xdr:rowOff>
    </xdr:to>
    <xdr:grpSp>
      <xdr:nvGrpSpPr>
        <xdr:cNvPr id="22" name="Group 21">
          <a:extLst>
            <a:ext uri="{FF2B5EF4-FFF2-40B4-BE49-F238E27FC236}">
              <a16:creationId xmlns:a16="http://schemas.microsoft.com/office/drawing/2014/main" id="{CF5418EA-2038-6166-1060-9CA49F181670}"/>
            </a:ext>
          </a:extLst>
        </xdr:cNvPr>
        <xdr:cNvGrpSpPr/>
      </xdr:nvGrpSpPr>
      <xdr:grpSpPr>
        <a:xfrm>
          <a:off x="7705196" y="338666"/>
          <a:ext cx="2149474" cy="795600"/>
          <a:chOff x="7731126" y="282575"/>
          <a:chExt cx="2149474" cy="885825"/>
        </a:xfrm>
      </xdr:grpSpPr>
      <xdr:sp macro="" textlink="PVT_KPI!F4">
        <xdr:nvSpPr>
          <xdr:cNvPr id="12" name="Rectangle: Rounded Corners 11">
            <a:extLst>
              <a:ext uri="{FF2B5EF4-FFF2-40B4-BE49-F238E27FC236}">
                <a16:creationId xmlns:a16="http://schemas.microsoft.com/office/drawing/2014/main" id="{D52E49C4-22C0-5AB1-0B72-CB33F0EC62F0}"/>
              </a:ext>
            </a:extLst>
          </xdr:cNvPr>
          <xdr:cNvSpPr/>
        </xdr:nvSpPr>
        <xdr:spPr>
          <a:xfrm>
            <a:off x="7731126" y="282575"/>
            <a:ext cx="2149474" cy="885825"/>
          </a:xfrm>
          <a:prstGeom prst="roundRect">
            <a:avLst>
              <a:gd name="adj" fmla="val 22549"/>
            </a:avLst>
          </a:prstGeom>
          <a:solidFill>
            <a:schemeClr val="bg1"/>
          </a:solidFill>
          <a:ln>
            <a:solidFill>
              <a:srgbClr val="C6C4F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6ABE3AAA-C5D1-46FA-98EA-1AAAF17D0E80}" type="TxLink">
              <a:rPr lang="en-US" sz="1600" b="1" i="0" u="none" strike="noStrike">
                <a:solidFill>
                  <a:srgbClr val="7B77F2"/>
                </a:solidFill>
                <a:latin typeface="Arial" panose="020B0604020202020204" pitchFamily="34" charset="0"/>
                <a:cs typeface="Arial" panose="020B0604020202020204" pitchFamily="34" charset="0"/>
              </a:rPr>
              <a:pPr algn="l"/>
              <a:t>16.12%</a:t>
            </a:fld>
            <a:endParaRPr lang="en-US" sz="1600" b="1">
              <a:solidFill>
                <a:srgbClr val="7B77F2"/>
              </a:solidFill>
              <a:latin typeface="Arial" panose="020B0604020202020204" pitchFamily="34" charset="0"/>
              <a:cs typeface="Arial" panose="020B0604020202020204" pitchFamily="34" charset="0"/>
            </a:endParaRPr>
          </a:p>
        </xdr:txBody>
      </xdr:sp>
      <xdr:sp macro="" textlink="">
        <xdr:nvSpPr>
          <xdr:cNvPr id="17" name="TextBox 16">
            <a:extLst>
              <a:ext uri="{FF2B5EF4-FFF2-40B4-BE49-F238E27FC236}">
                <a16:creationId xmlns:a16="http://schemas.microsoft.com/office/drawing/2014/main" id="{46577FB0-6B06-6483-4BD9-12508A9E652D}"/>
              </a:ext>
            </a:extLst>
          </xdr:cNvPr>
          <xdr:cNvSpPr txBox="1"/>
        </xdr:nvSpPr>
        <xdr:spPr>
          <a:xfrm>
            <a:off x="7797800" y="307976"/>
            <a:ext cx="1769533" cy="282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0">
                <a:solidFill>
                  <a:srgbClr val="7B77F2"/>
                </a:solidFill>
                <a:latin typeface="Arial" panose="020B0604020202020204" pitchFamily="34" charset="0"/>
                <a:cs typeface="Arial" panose="020B0604020202020204" pitchFamily="34" charset="0"/>
              </a:rPr>
              <a:t>Overall Attrition Rate</a:t>
            </a:r>
          </a:p>
        </xdr:txBody>
      </xdr:sp>
    </xdr:grpSp>
    <xdr:clientData/>
  </xdr:twoCellAnchor>
  <xdr:twoCellAnchor>
    <xdr:from>
      <xdr:col>15</xdr:col>
      <xdr:colOff>398198</xdr:colOff>
      <xdr:row>1</xdr:row>
      <xdr:rowOff>160866</xdr:rowOff>
    </xdr:from>
    <xdr:to>
      <xdr:col>19</xdr:col>
      <xdr:colOff>185472</xdr:colOff>
      <xdr:row>6</xdr:row>
      <xdr:rowOff>67466</xdr:rowOff>
    </xdr:to>
    <xdr:grpSp>
      <xdr:nvGrpSpPr>
        <xdr:cNvPr id="23" name="Group 22">
          <a:extLst>
            <a:ext uri="{FF2B5EF4-FFF2-40B4-BE49-F238E27FC236}">
              <a16:creationId xmlns:a16="http://schemas.microsoft.com/office/drawing/2014/main" id="{58B80A50-3FF6-44D8-B594-A4D805187765}"/>
            </a:ext>
          </a:extLst>
        </xdr:cNvPr>
        <xdr:cNvGrpSpPr/>
      </xdr:nvGrpSpPr>
      <xdr:grpSpPr>
        <a:xfrm>
          <a:off x="10431198" y="338666"/>
          <a:ext cx="2462741" cy="795600"/>
          <a:chOff x="10398125" y="282575"/>
          <a:chExt cx="2462741" cy="885825"/>
        </a:xfrm>
      </xdr:grpSpPr>
      <xdr:sp macro="" textlink="PVT_KPI!F5">
        <xdr:nvSpPr>
          <xdr:cNvPr id="13" name="Rectangle: Rounded Corners 12">
            <a:extLst>
              <a:ext uri="{FF2B5EF4-FFF2-40B4-BE49-F238E27FC236}">
                <a16:creationId xmlns:a16="http://schemas.microsoft.com/office/drawing/2014/main" id="{6FF9EC39-616C-EF30-BE89-8E5FEF9182AF}"/>
              </a:ext>
            </a:extLst>
          </xdr:cNvPr>
          <xdr:cNvSpPr/>
        </xdr:nvSpPr>
        <xdr:spPr>
          <a:xfrm>
            <a:off x="10398125" y="282575"/>
            <a:ext cx="2462741" cy="885825"/>
          </a:xfrm>
          <a:prstGeom prst="roundRect">
            <a:avLst>
              <a:gd name="adj" fmla="val 22549"/>
            </a:avLst>
          </a:prstGeom>
          <a:solidFill>
            <a:schemeClr val="bg1"/>
          </a:solidFill>
          <a:ln>
            <a:solidFill>
              <a:srgbClr val="C6C4F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14EA5A8B-FD10-4888-AE18-75A1EEF7BF24}" type="TxLink">
              <a:rPr lang="en-US" sz="1600" b="1" i="0" u="none" strike="noStrike">
                <a:solidFill>
                  <a:srgbClr val="7B77F2"/>
                </a:solidFill>
                <a:latin typeface="Arial" panose="020B0604020202020204" pitchFamily="34" charset="0"/>
                <a:cs typeface="Arial" panose="020B0604020202020204" pitchFamily="34" charset="0"/>
              </a:rPr>
              <a:pPr algn="l"/>
              <a:t>2.47</a:t>
            </a:fld>
            <a:endParaRPr lang="en-US" sz="1600" b="1">
              <a:solidFill>
                <a:srgbClr val="7B77F2"/>
              </a:solidFill>
              <a:latin typeface="Arial" panose="020B0604020202020204" pitchFamily="34" charset="0"/>
              <a:cs typeface="Arial" panose="020B0604020202020204" pitchFamily="34" charset="0"/>
            </a:endParaRPr>
          </a:p>
        </xdr:txBody>
      </xdr:sp>
      <xdr:sp macro="" textlink="">
        <xdr:nvSpPr>
          <xdr:cNvPr id="18" name="TextBox 17">
            <a:extLst>
              <a:ext uri="{FF2B5EF4-FFF2-40B4-BE49-F238E27FC236}">
                <a16:creationId xmlns:a16="http://schemas.microsoft.com/office/drawing/2014/main" id="{BAF84812-467C-6C4C-F239-AE62D0B97F44}"/>
              </a:ext>
            </a:extLst>
          </xdr:cNvPr>
          <xdr:cNvSpPr txBox="1"/>
        </xdr:nvSpPr>
        <xdr:spPr>
          <a:xfrm>
            <a:off x="10422466" y="291042"/>
            <a:ext cx="2370667" cy="420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0">
                <a:solidFill>
                  <a:srgbClr val="7B77F2"/>
                </a:solidFill>
                <a:latin typeface="Arial" panose="020B0604020202020204" pitchFamily="34" charset="0"/>
                <a:cs typeface="Arial" panose="020B0604020202020204" pitchFamily="34" charset="0"/>
              </a:rPr>
              <a:t>Average Job Satisfaction (Leavers)</a:t>
            </a:r>
          </a:p>
        </xdr:txBody>
      </xdr:sp>
    </xdr:grpSp>
    <xdr:clientData/>
  </xdr:twoCellAnchor>
  <xdr:twoCellAnchor>
    <xdr:from>
      <xdr:col>19</xdr:col>
      <xdr:colOff>643466</xdr:colOff>
      <xdr:row>1</xdr:row>
      <xdr:rowOff>160866</xdr:rowOff>
    </xdr:from>
    <xdr:to>
      <xdr:col>23</xdr:col>
      <xdr:colOff>279399</xdr:colOff>
      <xdr:row>6</xdr:row>
      <xdr:rowOff>67466</xdr:rowOff>
    </xdr:to>
    <xdr:grpSp>
      <xdr:nvGrpSpPr>
        <xdr:cNvPr id="24" name="Group 23">
          <a:extLst>
            <a:ext uri="{FF2B5EF4-FFF2-40B4-BE49-F238E27FC236}">
              <a16:creationId xmlns:a16="http://schemas.microsoft.com/office/drawing/2014/main" id="{BB4B7143-21E6-E858-E557-EC4127C2FD85}"/>
            </a:ext>
          </a:extLst>
        </xdr:cNvPr>
        <xdr:cNvGrpSpPr/>
      </xdr:nvGrpSpPr>
      <xdr:grpSpPr>
        <a:xfrm>
          <a:off x="13351933" y="338666"/>
          <a:ext cx="2311399" cy="795600"/>
          <a:chOff x="13047133" y="282575"/>
          <a:chExt cx="2311399" cy="885825"/>
        </a:xfrm>
      </xdr:grpSpPr>
      <xdr:sp macro="" textlink="PVT_KPI!F6">
        <xdr:nvSpPr>
          <xdr:cNvPr id="14" name="Rectangle: Rounded Corners 13">
            <a:extLst>
              <a:ext uri="{FF2B5EF4-FFF2-40B4-BE49-F238E27FC236}">
                <a16:creationId xmlns:a16="http://schemas.microsoft.com/office/drawing/2014/main" id="{F2455EA3-5FA8-9CEB-9F89-21D5789EA819}"/>
              </a:ext>
            </a:extLst>
          </xdr:cNvPr>
          <xdr:cNvSpPr/>
        </xdr:nvSpPr>
        <xdr:spPr>
          <a:xfrm>
            <a:off x="13065125" y="282575"/>
            <a:ext cx="2293407" cy="885825"/>
          </a:xfrm>
          <a:prstGeom prst="roundRect">
            <a:avLst>
              <a:gd name="adj" fmla="val 22549"/>
            </a:avLst>
          </a:prstGeom>
          <a:solidFill>
            <a:schemeClr val="bg1"/>
          </a:solidFill>
          <a:ln>
            <a:solidFill>
              <a:srgbClr val="C6C4F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04AC3330-D57C-42FB-823A-828A4ACA48CD}" type="TxLink">
              <a:rPr lang="en-US" sz="1600" b="1" i="0" u="none" strike="noStrike">
                <a:solidFill>
                  <a:srgbClr val="7B77F2"/>
                </a:solidFill>
                <a:latin typeface="Arial" panose="020B0604020202020204" pitchFamily="34" charset="0"/>
                <a:cs typeface="Arial" panose="020B0604020202020204" pitchFamily="34" charset="0"/>
              </a:rPr>
              <a:pPr algn="l"/>
              <a:t>5.13</a:t>
            </a:fld>
            <a:endParaRPr lang="en-US" sz="1600" b="1">
              <a:solidFill>
                <a:srgbClr val="7B77F2"/>
              </a:solidFill>
              <a:latin typeface="Arial" panose="020B0604020202020204" pitchFamily="34" charset="0"/>
              <a:cs typeface="Arial" panose="020B0604020202020204" pitchFamily="34" charset="0"/>
            </a:endParaRPr>
          </a:p>
        </xdr:txBody>
      </xdr:sp>
      <xdr:sp macro="" textlink="">
        <xdr:nvSpPr>
          <xdr:cNvPr id="19" name="TextBox 18">
            <a:extLst>
              <a:ext uri="{FF2B5EF4-FFF2-40B4-BE49-F238E27FC236}">
                <a16:creationId xmlns:a16="http://schemas.microsoft.com/office/drawing/2014/main" id="{310CF0A1-1490-B5E5-77A9-2540EF1023E3}"/>
              </a:ext>
            </a:extLst>
          </xdr:cNvPr>
          <xdr:cNvSpPr txBox="1"/>
        </xdr:nvSpPr>
        <xdr:spPr>
          <a:xfrm>
            <a:off x="13047133" y="291042"/>
            <a:ext cx="2209800" cy="310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a:solidFill>
                  <a:srgbClr val="7B77F2"/>
                </a:solidFill>
                <a:latin typeface="Arial" panose="020B0604020202020204" pitchFamily="34" charset="0"/>
                <a:cs typeface="Arial" panose="020B0604020202020204" pitchFamily="34" charset="0"/>
              </a:rPr>
              <a:t>Avg Tenure of Leavers (yrs)</a:t>
            </a:r>
            <a:endParaRPr lang="en-IN" sz="1100" b="0">
              <a:solidFill>
                <a:srgbClr val="7B77F2"/>
              </a:solidFill>
              <a:latin typeface="Arial" panose="020B0604020202020204" pitchFamily="34" charset="0"/>
              <a:cs typeface="Arial" panose="020B0604020202020204" pitchFamily="34" charset="0"/>
            </a:endParaRPr>
          </a:p>
        </xdr:txBody>
      </xdr:sp>
    </xdr:grpSp>
    <xdr:clientData/>
  </xdr:twoCellAnchor>
  <xdr:twoCellAnchor>
    <xdr:from>
      <xdr:col>9</xdr:col>
      <xdr:colOff>67734</xdr:colOff>
      <xdr:row>20</xdr:row>
      <xdr:rowOff>16935</xdr:rowOff>
    </xdr:from>
    <xdr:to>
      <xdr:col>15</xdr:col>
      <xdr:colOff>254000</xdr:colOff>
      <xdr:row>34</xdr:row>
      <xdr:rowOff>16935</xdr:rowOff>
    </xdr:to>
    <xdr:graphicFrame macro="">
      <xdr:nvGraphicFramePr>
        <xdr:cNvPr id="25" name="Chart 24">
          <a:extLst>
            <a:ext uri="{FF2B5EF4-FFF2-40B4-BE49-F238E27FC236}">
              <a16:creationId xmlns:a16="http://schemas.microsoft.com/office/drawing/2014/main" id="{1AA4F175-D4FF-4523-8BAB-17C49953D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656165</xdr:colOff>
      <xdr:row>7</xdr:row>
      <xdr:rowOff>0</xdr:rowOff>
    </xdr:from>
    <xdr:to>
      <xdr:col>15</xdr:col>
      <xdr:colOff>203199</xdr:colOff>
      <xdr:row>19</xdr:row>
      <xdr:rowOff>135468</xdr:rowOff>
    </xdr:to>
    <xdr:graphicFrame macro="">
      <xdr:nvGraphicFramePr>
        <xdr:cNvPr id="26" name="Chart 25">
          <a:extLst>
            <a:ext uri="{FF2B5EF4-FFF2-40B4-BE49-F238E27FC236}">
              <a16:creationId xmlns:a16="http://schemas.microsoft.com/office/drawing/2014/main" id="{AA8CC8B1-A17F-4FA2-B971-6509684E85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304799</xdr:colOff>
      <xdr:row>6</xdr:row>
      <xdr:rowOff>169334</xdr:rowOff>
    </xdr:from>
    <xdr:to>
      <xdr:col>23</xdr:col>
      <xdr:colOff>220133</xdr:colOff>
      <xdr:row>19</xdr:row>
      <xdr:rowOff>152400</xdr:rowOff>
    </xdr:to>
    <xdr:graphicFrame macro="">
      <xdr:nvGraphicFramePr>
        <xdr:cNvPr id="27" name="Chart 26">
          <a:extLst>
            <a:ext uri="{FF2B5EF4-FFF2-40B4-BE49-F238E27FC236}">
              <a16:creationId xmlns:a16="http://schemas.microsoft.com/office/drawing/2014/main" id="{2951BC42-F017-49CB-B26E-7D401646FD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664633</xdr:colOff>
      <xdr:row>20</xdr:row>
      <xdr:rowOff>33868</xdr:rowOff>
    </xdr:from>
    <xdr:to>
      <xdr:col>8</xdr:col>
      <xdr:colOff>651935</xdr:colOff>
      <xdr:row>34</xdr:row>
      <xdr:rowOff>8466</xdr:rowOff>
    </xdr:to>
    <xdr:graphicFrame macro="">
      <xdr:nvGraphicFramePr>
        <xdr:cNvPr id="28" name="Chart 27">
          <a:extLst>
            <a:ext uri="{FF2B5EF4-FFF2-40B4-BE49-F238E27FC236}">
              <a16:creationId xmlns:a16="http://schemas.microsoft.com/office/drawing/2014/main" id="{1E5D8DDF-6301-4F88-8DC3-A0CF2D9344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21163</xdr:colOff>
      <xdr:row>7</xdr:row>
      <xdr:rowOff>16933</xdr:rowOff>
    </xdr:from>
    <xdr:to>
      <xdr:col>7</xdr:col>
      <xdr:colOff>550331</xdr:colOff>
      <xdr:row>19</xdr:row>
      <xdr:rowOff>127000</xdr:rowOff>
    </xdr:to>
    <xdr:graphicFrame macro="">
      <xdr:nvGraphicFramePr>
        <xdr:cNvPr id="29" name="Chart 28">
          <a:extLst>
            <a:ext uri="{FF2B5EF4-FFF2-40B4-BE49-F238E27FC236}">
              <a16:creationId xmlns:a16="http://schemas.microsoft.com/office/drawing/2014/main" id="{48F1627D-E260-4D25-B5D0-ACD097C21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313265</xdr:colOff>
      <xdr:row>20</xdr:row>
      <xdr:rowOff>16933</xdr:rowOff>
    </xdr:from>
    <xdr:to>
      <xdr:col>23</xdr:col>
      <xdr:colOff>220134</xdr:colOff>
      <xdr:row>34</xdr:row>
      <xdr:rowOff>0</xdr:rowOff>
    </xdr:to>
    <xdr:graphicFrame macro="">
      <xdr:nvGraphicFramePr>
        <xdr:cNvPr id="30" name="Chart 29">
          <a:extLst>
            <a:ext uri="{FF2B5EF4-FFF2-40B4-BE49-F238E27FC236}">
              <a16:creationId xmlns:a16="http://schemas.microsoft.com/office/drawing/2014/main" id="{9720BE6C-D838-41EE-B298-25889457A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660401</xdr:colOff>
      <xdr:row>0</xdr:row>
      <xdr:rowOff>50800</xdr:rowOff>
    </xdr:from>
    <xdr:to>
      <xdr:col>8</xdr:col>
      <xdr:colOff>381001</xdr:colOff>
      <xdr:row>1</xdr:row>
      <xdr:rowOff>84666</xdr:rowOff>
    </xdr:to>
    <xdr:sp macro="" textlink="">
      <xdr:nvSpPr>
        <xdr:cNvPr id="31" name="TextBox 30">
          <a:extLst>
            <a:ext uri="{FF2B5EF4-FFF2-40B4-BE49-F238E27FC236}">
              <a16:creationId xmlns:a16="http://schemas.microsoft.com/office/drawing/2014/main" id="{1E5090E9-2948-76D9-3ECA-07A09FAFB4A7}"/>
            </a:ext>
          </a:extLst>
        </xdr:cNvPr>
        <xdr:cNvSpPr txBox="1"/>
      </xdr:nvSpPr>
      <xdr:spPr>
        <a:xfrm>
          <a:off x="1998134" y="50800"/>
          <a:ext cx="3733800" cy="2116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1">
              <a:solidFill>
                <a:srgbClr val="7B77F2"/>
              </a:solidFill>
              <a:latin typeface="Arial" panose="020B0604020202020204" pitchFamily="34" charset="0"/>
              <a:cs typeface="Arial" panose="020B0604020202020204" pitchFamily="34" charset="0"/>
            </a:rPr>
            <a:t>Employee Attrition | HR Analytics Dashboard</a:t>
          </a:r>
        </a:p>
      </xdr:txBody>
    </xdr:sp>
    <xdr:clientData/>
  </xdr:twoCellAnchor>
  <xdr:twoCellAnchor editAs="oneCell">
    <xdr:from>
      <xdr:col>5</xdr:col>
      <xdr:colOff>351366</xdr:colOff>
      <xdr:row>3</xdr:row>
      <xdr:rowOff>127001</xdr:rowOff>
    </xdr:from>
    <xdr:to>
      <xdr:col>6</xdr:col>
      <xdr:colOff>46565</xdr:colOff>
      <xdr:row>5</xdr:row>
      <xdr:rowOff>135467</xdr:rowOff>
    </xdr:to>
    <xdr:pic>
      <xdr:nvPicPr>
        <xdr:cNvPr id="32" name="Picture 31">
          <a:extLst>
            <a:ext uri="{FF2B5EF4-FFF2-40B4-BE49-F238E27FC236}">
              <a16:creationId xmlns:a16="http://schemas.microsoft.com/office/drawing/2014/main" id="{04AF9694-4D5E-D007-12BB-2729156AE0BE}"/>
            </a:ext>
          </a:extLst>
        </xdr:cNvPr>
        <xdr:cNvPicPr>
          <a:picLocks noChangeAspect="1"/>
        </xdr:cNvPicPr>
      </xdr:nvPicPr>
      <xdr:blipFill>
        <a:blip xmlns:r="http://schemas.openxmlformats.org/officeDocument/2006/relationships" r:embed="rId7"/>
        <a:stretch>
          <a:fillRect/>
        </a:stretch>
      </xdr:blipFill>
      <xdr:spPr>
        <a:xfrm>
          <a:off x="3695699" y="660401"/>
          <a:ext cx="364066" cy="364066"/>
        </a:xfrm>
        <a:prstGeom prst="rect">
          <a:avLst/>
        </a:prstGeom>
      </xdr:spPr>
    </xdr:pic>
    <xdr:clientData/>
  </xdr:twoCellAnchor>
  <xdr:twoCellAnchor editAs="oneCell">
    <xdr:from>
      <xdr:col>9</xdr:col>
      <xdr:colOff>414867</xdr:colOff>
      <xdr:row>3</xdr:row>
      <xdr:rowOff>131235</xdr:rowOff>
    </xdr:from>
    <xdr:to>
      <xdr:col>10</xdr:col>
      <xdr:colOff>139698</xdr:colOff>
      <xdr:row>5</xdr:row>
      <xdr:rowOff>169333</xdr:rowOff>
    </xdr:to>
    <xdr:pic>
      <xdr:nvPicPr>
        <xdr:cNvPr id="33" name="Picture 32">
          <a:extLst>
            <a:ext uri="{FF2B5EF4-FFF2-40B4-BE49-F238E27FC236}">
              <a16:creationId xmlns:a16="http://schemas.microsoft.com/office/drawing/2014/main" id="{49032993-16A9-6DFE-7624-655AC93BF19E}"/>
            </a:ext>
          </a:extLst>
        </xdr:cNvPr>
        <xdr:cNvPicPr>
          <a:picLocks noChangeAspect="1"/>
        </xdr:cNvPicPr>
      </xdr:nvPicPr>
      <xdr:blipFill>
        <a:blip xmlns:r="http://schemas.openxmlformats.org/officeDocument/2006/relationships" r:embed="rId8"/>
        <a:stretch>
          <a:fillRect/>
        </a:stretch>
      </xdr:blipFill>
      <xdr:spPr>
        <a:xfrm>
          <a:off x="6434667" y="664635"/>
          <a:ext cx="393698" cy="393698"/>
        </a:xfrm>
        <a:prstGeom prst="rect">
          <a:avLst/>
        </a:prstGeom>
      </xdr:spPr>
    </xdr:pic>
    <xdr:clientData/>
  </xdr:twoCellAnchor>
  <xdr:twoCellAnchor editAs="oneCell">
    <xdr:from>
      <xdr:col>13</xdr:col>
      <xdr:colOff>571497</xdr:colOff>
      <xdr:row>3</xdr:row>
      <xdr:rowOff>67735</xdr:rowOff>
    </xdr:from>
    <xdr:to>
      <xdr:col>14</xdr:col>
      <xdr:colOff>321734</xdr:colOff>
      <xdr:row>5</xdr:row>
      <xdr:rowOff>131238</xdr:rowOff>
    </xdr:to>
    <xdr:pic>
      <xdr:nvPicPr>
        <xdr:cNvPr id="36" name="Picture 35">
          <a:extLst>
            <a:ext uri="{FF2B5EF4-FFF2-40B4-BE49-F238E27FC236}">
              <a16:creationId xmlns:a16="http://schemas.microsoft.com/office/drawing/2014/main" id="{FAC1D8CD-AD21-779F-608D-79F50EAABC2A}"/>
            </a:ext>
          </a:extLst>
        </xdr:cNvPr>
        <xdr:cNvPicPr>
          <a:picLocks noChangeAspect="1"/>
        </xdr:cNvPicPr>
      </xdr:nvPicPr>
      <xdr:blipFill>
        <a:blip xmlns:r="http://schemas.openxmlformats.org/officeDocument/2006/relationships" r:embed="rId9"/>
        <a:stretch>
          <a:fillRect/>
        </a:stretch>
      </xdr:blipFill>
      <xdr:spPr>
        <a:xfrm>
          <a:off x="9266764" y="601135"/>
          <a:ext cx="419103" cy="419103"/>
        </a:xfrm>
        <a:prstGeom prst="rect">
          <a:avLst/>
        </a:prstGeom>
      </xdr:spPr>
    </xdr:pic>
    <xdr:clientData/>
  </xdr:twoCellAnchor>
  <xdr:twoCellAnchor editAs="oneCell">
    <xdr:from>
      <xdr:col>18</xdr:col>
      <xdr:colOff>351365</xdr:colOff>
      <xdr:row>3</xdr:row>
      <xdr:rowOff>110067</xdr:rowOff>
    </xdr:from>
    <xdr:to>
      <xdr:col>19</xdr:col>
      <xdr:colOff>93134</xdr:colOff>
      <xdr:row>5</xdr:row>
      <xdr:rowOff>165103</xdr:rowOff>
    </xdr:to>
    <xdr:pic>
      <xdr:nvPicPr>
        <xdr:cNvPr id="39" name="Picture 38">
          <a:extLst>
            <a:ext uri="{FF2B5EF4-FFF2-40B4-BE49-F238E27FC236}">
              <a16:creationId xmlns:a16="http://schemas.microsoft.com/office/drawing/2014/main" id="{82AFCA1F-9099-1AA9-FBDD-40672C7D14FB}"/>
            </a:ext>
          </a:extLst>
        </xdr:cNvPr>
        <xdr:cNvPicPr>
          <a:picLocks noChangeAspect="1"/>
        </xdr:cNvPicPr>
      </xdr:nvPicPr>
      <xdr:blipFill>
        <a:blip xmlns:r="http://schemas.openxmlformats.org/officeDocument/2006/relationships" r:embed="rId10"/>
        <a:stretch>
          <a:fillRect/>
        </a:stretch>
      </xdr:blipFill>
      <xdr:spPr>
        <a:xfrm>
          <a:off x="12390965" y="643467"/>
          <a:ext cx="410636" cy="410636"/>
        </a:xfrm>
        <a:prstGeom prst="rect">
          <a:avLst/>
        </a:prstGeom>
      </xdr:spPr>
    </xdr:pic>
    <xdr:clientData/>
  </xdr:twoCellAnchor>
  <xdr:twoCellAnchor editAs="oneCell">
    <xdr:from>
      <xdr:col>22</xdr:col>
      <xdr:colOff>385233</xdr:colOff>
      <xdr:row>3</xdr:row>
      <xdr:rowOff>135469</xdr:rowOff>
    </xdr:from>
    <xdr:to>
      <xdr:col>23</xdr:col>
      <xdr:colOff>156633</xdr:colOff>
      <xdr:row>6</xdr:row>
      <xdr:rowOff>42335</xdr:rowOff>
    </xdr:to>
    <xdr:pic>
      <xdr:nvPicPr>
        <xdr:cNvPr id="41" name="Picture 40">
          <a:extLst>
            <a:ext uri="{FF2B5EF4-FFF2-40B4-BE49-F238E27FC236}">
              <a16:creationId xmlns:a16="http://schemas.microsoft.com/office/drawing/2014/main" id="{9C2209BF-AD0D-A3AA-25B3-6CA669786EBB}"/>
            </a:ext>
          </a:extLst>
        </xdr:cNvPr>
        <xdr:cNvPicPr>
          <a:picLocks noChangeAspect="1"/>
        </xdr:cNvPicPr>
      </xdr:nvPicPr>
      <xdr:blipFill>
        <a:blip xmlns:r="http://schemas.openxmlformats.org/officeDocument/2006/relationships" r:embed="rId11"/>
        <a:stretch>
          <a:fillRect/>
        </a:stretch>
      </xdr:blipFill>
      <xdr:spPr>
        <a:xfrm>
          <a:off x="15100300" y="668869"/>
          <a:ext cx="440266" cy="440266"/>
        </a:xfrm>
        <a:prstGeom prst="rect">
          <a:avLst/>
        </a:prstGeom>
      </xdr:spPr>
    </xdr:pic>
    <xdr:clientData/>
  </xdr:twoCellAnchor>
  <xdr:twoCellAnchor editAs="oneCell">
    <xdr:from>
      <xdr:col>0</xdr:col>
      <xdr:colOff>0</xdr:colOff>
      <xdr:row>5</xdr:row>
      <xdr:rowOff>127001</xdr:rowOff>
    </xdr:from>
    <xdr:to>
      <xdr:col>2</xdr:col>
      <xdr:colOff>533400</xdr:colOff>
      <xdr:row>13</xdr:row>
      <xdr:rowOff>101601</xdr:rowOff>
    </xdr:to>
    <mc:AlternateContent xmlns:mc="http://schemas.openxmlformats.org/markup-compatibility/2006" xmlns:a14="http://schemas.microsoft.com/office/drawing/2010/main">
      <mc:Choice Requires="a14">
        <xdr:graphicFrame macro="">
          <xdr:nvGraphicFramePr>
            <xdr:cNvPr id="42" name="Department">
              <a:extLst>
                <a:ext uri="{FF2B5EF4-FFF2-40B4-BE49-F238E27FC236}">
                  <a16:creationId xmlns:a16="http://schemas.microsoft.com/office/drawing/2014/main" id="{456967B7-1676-B195-2F86-991125ACC02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1016001"/>
              <a:ext cx="1871133" cy="139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16933</xdr:colOff>
      <xdr:row>13</xdr:row>
      <xdr:rowOff>93134</xdr:rowOff>
    </xdr:from>
    <xdr:to>
      <xdr:col>2</xdr:col>
      <xdr:colOff>533400</xdr:colOff>
      <xdr:row>19</xdr:row>
      <xdr:rowOff>143934</xdr:rowOff>
    </xdr:to>
    <mc:AlternateContent xmlns:mc="http://schemas.openxmlformats.org/markup-compatibility/2006" xmlns:a14="http://schemas.microsoft.com/office/drawing/2010/main">
      <mc:Choice Requires="a14">
        <xdr:graphicFrame macro="">
          <xdr:nvGraphicFramePr>
            <xdr:cNvPr id="43" name="OverTime">
              <a:extLst>
                <a:ext uri="{FF2B5EF4-FFF2-40B4-BE49-F238E27FC236}">
                  <a16:creationId xmlns:a16="http://schemas.microsoft.com/office/drawing/2014/main" id="{4AA4469B-8FA1-07BF-B116-039BD17D1681}"/>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16933" y="2404534"/>
              <a:ext cx="1854200" cy="1117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8467</xdr:colOff>
      <xdr:row>19</xdr:row>
      <xdr:rowOff>127000</xdr:rowOff>
    </xdr:from>
    <xdr:to>
      <xdr:col>2</xdr:col>
      <xdr:colOff>533400</xdr:colOff>
      <xdr:row>25</xdr:row>
      <xdr:rowOff>169333</xdr:rowOff>
    </xdr:to>
    <mc:AlternateContent xmlns:mc="http://schemas.openxmlformats.org/markup-compatibility/2006" xmlns:a14="http://schemas.microsoft.com/office/drawing/2010/main">
      <mc:Choice Requires="a14">
        <xdr:graphicFrame macro="">
          <xdr:nvGraphicFramePr>
            <xdr:cNvPr id="44" name="Gender">
              <a:extLst>
                <a:ext uri="{FF2B5EF4-FFF2-40B4-BE49-F238E27FC236}">
                  <a16:creationId xmlns:a16="http://schemas.microsoft.com/office/drawing/2014/main" id="{0B1B4C48-C8E2-8052-7753-DB09F988F87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467" y="3505200"/>
              <a:ext cx="1862666" cy="11091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169333</xdr:rowOff>
    </xdr:from>
    <xdr:to>
      <xdr:col>2</xdr:col>
      <xdr:colOff>516467</xdr:colOff>
      <xdr:row>36</xdr:row>
      <xdr:rowOff>16933</xdr:rowOff>
    </xdr:to>
    <mc:AlternateContent xmlns:mc="http://schemas.openxmlformats.org/markup-compatibility/2006" xmlns:a14="http://schemas.microsoft.com/office/drawing/2010/main">
      <mc:Choice Requires="a14">
        <xdr:graphicFrame macro="">
          <xdr:nvGraphicFramePr>
            <xdr:cNvPr id="45" name="JobLevel">
              <a:extLst>
                <a:ext uri="{FF2B5EF4-FFF2-40B4-BE49-F238E27FC236}">
                  <a16:creationId xmlns:a16="http://schemas.microsoft.com/office/drawing/2014/main" id="{AD103BD0-5E5F-226C-3A10-20637AD6D8B2}"/>
                </a:ext>
              </a:extLst>
            </xdr:cNvPr>
            <xdr:cNvGraphicFramePr/>
          </xdr:nvGraphicFramePr>
          <xdr:xfrm>
            <a:off x="0" y="0"/>
            <a:ext cx="0" cy="0"/>
          </xdr:xfrm>
          <a:graphic>
            <a:graphicData uri="http://schemas.microsoft.com/office/drawing/2010/slicer">
              <sle:slicer xmlns:sle="http://schemas.microsoft.com/office/drawing/2010/slicer" name="JobLevel"/>
            </a:graphicData>
          </a:graphic>
        </xdr:graphicFrame>
      </mc:Choice>
      <mc:Fallback xmlns="">
        <xdr:sp macro="" textlink="">
          <xdr:nvSpPr>
            <xdr:cNvPr id="0" name=""/>
            <xdr:cNvSpPr>
              <a:spLocks noTextEdit="1"/>
            </xdr:cNvSpPr>
          </xdr:nvSpPr>
          <xdr:spPr>
            <a:xfrm>
              <a:off x="0" y="4614333"/>
              <a:ext cx="1854200" cy="1803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499533</xdr:colOff>
      <xdr:row>0</xdr:row>
      <xdr:rowOff>169337</xdr:rowOff>
    </xdr:from>
    <xdr:to>
      <xdr:col>1</xdr:col>
      <xdr:colOff>508000</xdr:colOff>
      <xdr:row>4</xdr:row>
      <xdr:rowOff>135471</xdr:rowOff>
    </xdr:to>
    <xdr:pic>
      <xdr:nvPicPr>
        <xdr:cNvPr id="46" name="Picture 45">
          <a:extLst>
            <a:ext uri="{FF2B5EF4-FFF2-40B4-BE49-F238E27FC236}">
              <a16:creationId xmlns:a16="http://schemas.microsoft.com/office/drawing/2014/main" id="{7F87F564-A536-B391-D990-75FBC81A1B3F}"/>
            </a:ext>
          </a:extLst>
        </xdr:cNvPr>
        <xdr:cNvPicPr>
          <a:picLocks noChangeAspect="1"/>
        </xdr:cNvPicPr>
      </xdr:nvPicPr>
      <xdr:blipFill>
        <a:blip xmlns:r="http://schemas.openxmlformats.org/officeDocument/2006/relationships" r:embed="rId12"/>
        <a:stretch>
          <a:fillRect/>
        </a:stretch>
      </xdr:blipFill>
      <xdr:spPr>
        <a:xfrm>
          <a:off x="499533" y="169337"/>
          <a:ext cx="677334" cy="67733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Ziaul Haque" refreshedDate="46319.453129629626" createdVersion="8" refreshedVersion="8" minRefreshableVersion="3" recordCount="1470" xr:uid="{6F7710A7-9181-4578-8FD4-E2BB457DBB7D}">
  <cacheSource type="worksheet">
    <worksheetSource name="tblHR"/>
  </cacheSource>
  <cacheFields count="35">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fieldGroup base="5">
        <rangePr startNum="1" endNum="29" groupInterval="5"/>
        <groupItems count="8">
          <s v="&lt;1"/>
          <s v="1-5"/>
          <s v="6-10"/>
          <s v="11-15"/>
          <s v="16-20"/>
          <s v="21-25"/>
          <s v="26-30"/>
          <s v="&gt;31"/>
        </groupItems>
      </fieldGroup>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fieldGroup base="31">
        <rangePr startNum="0" endNum="40" groupInterval="5"/>
        <groupItems count="10">
          <s v="&lt;0"/>
          <s v="0-4"/>
          <s v="5-9"/>
          <s v="10-14"/>
          <s v="15-19"/>
          <s v="20-24"/>
          <s v="25-29"/>
          <s v="30-34"/>
          <s v="35-40"/>
          <s v="&gt;40"/>
        </groupItems>
      </fieldGroup>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96375992"/>
    </ext>
    <ext xmlns:xxpvi="http://schemas.microsoft.com/office/spreadsheetml/2022/pivotVersionInfo" uri="{9F748A41-CAEA-4470-BF7A-CE61E8FFA7F9}">
      <xxpvi:cacheVersionInfo>
        <xxpvi:lastRefreshFeature>Autorefresh</xxpvi:lastRefreshFeature>
      </xxpvi:cacheVersionInfo>
    </ext>
    <ext xmlns:xlpar="http://schemas.microsoft.com/office/spreadsheetml/2024/pivotAutoRefresh" uri="{DA1E1B2C-A1EE-400B-A0BD-712935E3C959}">
      <xlpar:autoRefresh>1</xlpar:autoRefresh>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x v="0"/>
    <n v="2"/>
    <s v="Life Sciences"/>
    <n v="1"/>
    <n v="1"/>
    <n v="2"/>
    <x v="0"/>
    <n v="94"/>
    <n v="3"/>
    <x v="0"/>
    <x v="0"/>
    <n v="4"/>
    <s v="Single"/>
    <n v="5993"/>
    <n v="19479"/>
    <n v="8"/>
    <s v="Y"/>
    <x v="0"/>
    <n v="11"/>
    <n v="3"/>
    <n v="1"/>
    <n v="80"/>
    <n v="0"/>
    <n v="8"/>
    <n v="0"/>
    <n v="1"/>
    <x v="0"/>
    <n v="4"/>
    <n v="0"/>
    <n v="5"/>
  </r>
  <r>
    <n v="49"/>
    <x v="1"/>
    <s v="Travel_Frequently"/>
    <n v="279"/>
    <x v="1"/>
    <x v="1"/>
    <n v="1"/>
    <s v="Life Sciences"/>
    <n v="1"/>
    <n v="2"/>
    <n v="3"/>
    <x v="1"/>
    <n v="61"/>
    <n v="2"/>
    <x v="0"/>
    <x v="1"/>
    <n v="2"/>
    <s v="Married"/>
    <n v="5130"/>
    <n v="24907"/>
    <n v="1"/>
    <s v="Y"/>
    <x v="1"/>
    <n v="23"/>
    <n v="4"/>
    <n v="4"/>
    <n v="80"/>
    <n v="1"/>
    <n v="10"/>
    <n v="3"/>
    <n v="3"/>
    <x v="1"/>
    <n v="7"/>
    <n v="1"/>
    <n v="7"/>
  </r>
  <r>
    <n v="37"/>
    <x v="0"/>
    <s v="Travel_Rarely"/>
    <n v="1373"/>
    <x v="1"/>
    <x v="2"/>
    <n v="2"/>
    <s v="Other"/>
    <n v="1"/>
    <n v="4"/>
    <n v="4"/>
    <x v="1"/>
    <n v="92"/>
    <n v="2"/>
    <x v="1"/>
    <x v="2"/>
    <n v="3"/>
    <s v="Single"/>
    <n v="2090"/>
    <n v="2396"/>
    <n v="6"/>
    <s v="Y"/>
    <x v="0"/>
    <n v="15"/>
    <n v="3"/>
    <n v="2"/>
    <n v="80"/>
    <n v="0"/>
    <n v="7"/>
    <n v="3"/>
    <n v="3"/>
    <x v="2"/>
    <n v="0"/>
    <n v="0"/>
    <n v="0"/>
  </r>
  <r>
    <n v="33"/>
    <x v="1"/>
    <s v="Travel_Frequently"/>
    <n v="1392"/>
    <x v="1"/>
    <x v="3"/>
    <n v="4"/>
    <s v="Life Sciences"/>
    <n v="1"/>
    <n v="5"/>
    <n v="4"/>
    <x v="0"/>
    <n v="56"/>
    <n v="3"/>
    <x v="1"/>
    <x v="1"/>
    <n v="3"/>
    <s v="Married"/>
    <n v="2909"/>
    <n v="23159"/>
    <n v="1"/>
    <s v="Y"/>
    <x v="0"/>
    <n v="11"/>
    <n v="3"/>
    <n v="3"/>
    <n v="80"/>
    <n v="0"/>
    <n v="8"/>
    <n v="3"/>
    <n v="3"/>
    <x v="3"/>
    <n v="7"/>
    <n v="3"/>
    <n v="0"/>
  </r>
  <r>
    <n v="27"/>
    <x v="1"/>
    <s v="Travel_Rarely"/>
    <n v="591"/>
    <x v="1"/>
    <x v="2"/>
    <n v="1"/>
    <s v="Medical"/>
    <n v="1"/>
    <n v="7"/>
    <n v="1"/>
    <x v="1"/>
    <n v="40"/>
    <n v="3"/>
    <x v="1"/>
    <x v="2"/>
    <n v="2"/>
    <s v="Married"/>
    <n v="3468"/>
    <n v="16632"/>
    <n v="9"/>
    <s v="Y"/>
    <x v="1"/>
    <n v="12"/>
    <n v="3"/>
    <n v="4"/>
    <n v="80"/>
    <n v="1"/>
    <n v="6"/>
    <n v="3"/>
    <n v="3"/>
    <x v="4"/>
    <n v="2"/>
    <n v="2"/>
    <n v="2"/>
  </r>
  <r>
    <n v="32"/>
    <x v="1"/>
    <s v="Travel_Frequently"/>
    <n v="1005"/>
    <x v="1"/>
    <x v="2"/>
    <n v="2"/>
    <s v="Life Sciences"/>
    <n v="1"/>
    <n v="8"/>
    <n v="4"/>
    <x v="1"/>
    <n v="79"/>
    <n v="3"/>
    <x v="1"/>
    <x v="2"/>
    <n v="4"/>
    <s v="Single"/>
    <n v="3068"/>
    <n v="11864"/>
    <n v="0"/>
    <s v="Y"/>
    <x v="1"/>
    <n v="13"/>
    <n v="3"/>
    <n v="3"/>
    <n v="80"/>
    <n v="0"/>
    <n v="8"/>
    <n v="2"/>
    <n v="2"/>
    <x v="5"/>
    <n v="7"/>
    <n v="3"/>
    <n v="6"/>
  </r>
  <r>
    <n v="59"/>
    <x v="1"/>
    <s v="Travel_Rarely"/>
    <n v="1324"/>
    <x v="1"/>
    <x v="3"/>
    <n v="3"/>
    <s v="Medical"/>
    <n v="1"/>
    <n v="10"/>
    <n v="3"/>
    <x v="0"/>
    <n v="81"/>
    <n v="4"/>
    <x v="1"/>
    <x v="2"/>
    <n v="1"/>
    <s v="Married"/>
    <n v="2670"/>
    <n v="9964"/>
    <n v="4"/>
    <s v="Y"/>
    <x v="0"/>
    <n v="20"/>
    <n v="4"/>
    <n v="1"/>
    <n v="80"/>
    <n v="3"/>
    <n v="12"/>
    <n v="3"/>
    <n v="2"/>
    <x v="6"/>
    <n v="0"/>
    <n v="0"/>
    <n v="0"/>
  </r>
  <r>
    <n v="30"/>
    <x v="1"/>
    <s v="Travel_Rarely"/>
    <n v="1358"/>
    <x v="1"/>
    <x v="4"/>
    <n v="1"/>
    <s v="Life Sciences"/>
    <n v="1"/>
    <n v="11"/>
    <n v="4"/>
    <x v="1"/>
    <n v="67"/>
    <n v="3"/>
    <x v="1"/>
    <x v="2"/>
    <n v="3"/>
    <s v="Divorced"/>
    <n v="2693"/>
    <n v="13335"/>
    <n v="1"/>
    <s v="Y"/>
    <x v="1"/>
    <n v="22"/>
    <n v="4"/>
    <n v="2"/>
    <n v="80"/>
    <n v="1"/>
    <n v="1"/>
    <n v="2"/>
    <n v="3"/>
    <x v="6"/>
    <n v="0"/>
    <n v="0"/>
    <n v="0"/>
  </r>
  <r>
    <n v="38"/>
    <x v="1"/>
    <s v="Travel_Frequently"/>
    <n v="216"/>
    <x v="1"/>
    <x v="5"/>
    <n v="3"/>
    <s v="Life Sciences"/>
    <n v="1"/>
    <n v="12"/>
    <n v="4"/>
    <x v="1"/>
    <n v="44"/>
    <n v="2"/>
    <x v="2"/>
    <x v="3"/>
    <n v="3"/>
    <s v="Single"/>
    <n v="9526"/>
    <n v="8787"/>
    <n v="0"/>
    <s v="Y"/>
    <x v="1"/>
    <n v="21"/>
    <n v="4"/>
    <n v="2"/>
    <n v="80"/>
    <n v="0"/>
    <n v="10"/>
    <n v="2"/>
    <n v="3"/>
    <x v="7"/>
    <n v="7"/>
    <n v="1"/>
    <n v="8"/>
  </r>
  <r>
    <n v="36"/>
    <x v="1"/>
    <s v="Travel_Rarely"/>
    <n v="1299"/>
    <x v="1"/>
    <x v="6"/>
    <n v="3"/>
    <s v="Medical"/>
    <n v="1"/>
    <n v="13"/>
    <n v="3"/>
    <x v="1"/>
    <n v="94"/>
    <n v="3"/>
    <x v="0"/>
    <x v="4"/>
    <n v="3"/>
    <s v="Married"/>
    <n v="5237"/>
    <n v="16577"/>
    <n v="6"/>
    <s v="Y"/>
    <x v="1"/>
    <n v="13"/>
    <n v="3"/>
    <n v="2"/>
    <n v="80"/>
    <n v="2"/>
    <n v="17"/>
    <n v="3"/>
    <n v="2"/>
    <x v="5"/>
    <n v="7"/>
    <n v="7"/>
    <n v="7"/>
  </r>
  <r>
    <n v="35"/>
    <x v="1"/>
    <s v="Travel_Rarely"/>
    <n v="809"/>
    <x v="1"/>
    <x v="7"/>
    <n v="3"/>
    <s v="Medical"/>
    <n v="1"/>
    <n v="14"/>
    <n v="1"/>
    <x v="1"/>
    <n v="84"/>
    <n v="4"/>
    <x v="1"/>
    <x v="2"/>
    <n v="2"/>
    <s v="Married"/>
    <n v="2426"/>
    <n v="16479"/>
    <n v="0"/>
    <s v="Y"/>
    <x v="1"/>
    <n v="13"/>
    <n v="3"/>
    <n v="3"/>
    <n v="80"/>
    <n v="1"/>
    <n v="6"/>
    <n v="5"/>
    <n v="3"/>
    <x v="8"/>
    <n v="4"/>
    <n v="0"/>
    <n v="3"/>
  </r>
  <r>
    <n v="29"/>
    <x v="1"/>
    <s v="Travel_Rarely"/>
    <n v="153"/>
    <x v="1"/>
    <x v="8"/>
    <n v="2"/>
    <s v="Life Sciences"/>
    <n v="1"/>
    <n v="15"/>
    <n v="4"/>
    <x v="0"/>
    <n v="49"/>
    <n v="2"/>
    <x v="0"/>
    <x v="2"/>
    <n v="3"/>
    <s v="Single"/>
    <n v="4193"/>
    <n v="12682"/>
    <n v="0"/>
    <s v="Y"/>
    <x v="0"/>
    <n v="12"/>
    <n v="3"/>
    <n v="4"/>
    <n v="80"/>
    <n v="0"/>
    <n v="10"/>
    <n v="3"/>
    <n v="3"/>
    <x v="7"/>
    <n v="5"/>
    <n v="0"/>
    <n v="8"/>
  </r>
  <r>
    <n v="31"/>
    <x v="1"/>
    <s v="Travel_Rarely"/>
    <n v="670"/>
    <x v="1"/>
    <x v="9"/>
    <n v="1"/>
    <s v="Life Sciences"/>
    <n v="1"/>
    <n v="16"/>
    <n v="1"/>
    <x v="1"/>
    <n v="31"/>
    <n v="3"/>
    <x v="1"/>
    <x v="1"/>
    <n v="3"/>
    <s v="Divorced"/>
    <n v="2911"/>
    <n v="15170"/>
    <n v="1"/>
    <s v="Y"/>
    <x v="1"/>
    <n v="17"/>
    <n v="3"/>
    <n v="4"/>
    <n v="80"/>
    <n v="1"/>
    <n v="5"/>
    <n v="1"/>
    <n v="2"/>
    <x v="8"/>
    <n v="2"/>
    <n v="4"/>
    <n v="3"/>
  </r>
  <r>
    <n v="34"/>
    <x v="1"/>
    <s v="Travel_Rarely"/>
    <n v="1346"/>
    <x v="1"/>
    <x v="10"/>
    <n v="2"/>
    <s v="Medical"/>
    <n v="1"/>
    <n v="18"/>
    <n v="2"/>
    <x v="1"/>
    <n v="93"/>
    <n v="3"/>
    <x v="1"/>
    <x v="2"/>
    <n v="4"/>
    <s v="Divorced"/>
    <n v="2661"/>
    <n v="8758"/>
    <n v="0"/>
    <s v="Y"/>
    <x v="1"/>
    <n v="11"/>
    <n v="3"/>
    <n v="3"/>
    <n v="80"/>
    <n v="1"/>
    <n v="3"/>
    <n v="2"/>
    <n v="3"/>
    <x v="4"/>
    <n v="2"/>
    <n v="1"/>
    <n v="2"/>
  </r>
  <r>
    <n v="28"/>
    <x v="0"/>
    <s v="Travel_Rarely"/>
    <n v="103"/>
    <x v="1"/>
    <x v="4"/>
    <n v="3"/>
    <s v="Life Sciences"/>
    <n v="1"/>
    <n v="19"/>
    <n v="3"/>
    <x v="1"/>
    <n v="50"/>
    <n v="2"/>
    <x v="1"/>
    <x v="2"/>
    <n v="3"/>
    <s v="Single"/>
    <n v="2028"/>
    <n v="12947"/>
    <n v="5"/>
    <s v="Y"/>
    <x v="0"/>
    <n v="14"/>
    <n v="3"/>
    <n v="2"/>
    <n v="80"/>
    <n v="0"/>
    <n v="6"/>
    <n v="4"/>
    <n v="3"/>
    <x v="9"/>
    <n v="2"/>
    <n v="0"/>
    <n v="3"/>
  </r>
  <r>
    <n v="29"/>
    <x v="1"/>
    <s v="Travel_Rarely"/>
    <n v="1389"/>
    <x v="1"/>
    <x v="11"/>
    <n v="4"/>
    <s v="Life Sciences"/>
    <n v="1"/>
    <n v="20"/>
    <n v="2"/>
    <x v="0"/>
    <n v="51"/>
    <n v="4"/>
    <x v="2"/>
    <x v="3"/>
    <n v="1"/>
    <s v="Divorced"/>
    <n v="9980"/>
    <n v="10195"/>
    <n v="1"/>
    <s v="Y"/>
    <x v="1"/>
    <n v="11"/>
    <n v="3"/>
    <n v="3"/>
    <n v="80"/>
    <n v="1"/>
    <n v="10"/>
    <n v="1"/>
    <n v="3"/>
    <x v="1"/>
    <n v="9"/>
    <n v="8"/>
    <n v="8"/>
  </r>
  <r>
    <n v="32"/>
    <x v="1"/>
    <s v="Travel_Rarely"/>
    <n v="334"/>
    <x v="1"/>
    <x v="12"/>
    <n v="2"/>
    <s v="Life Sciences"/>
    <n v="1"/>
    <n v="21"/>
    <n v="1"/>
    <x v="1"/>
    <n v="80"/>
    <n v="4"/>
    <x v="1"/>
    <x v="1"/>
    <n v="2"/>
    <s v="Divorced"/>
    <n v="3298"/>
    <n v="15053"/>
    <n v="0"/>
    <s v="Y"/>
    <x v="0"/>
    <n v="12"/>
    <n v="3"/>
    <n v="4"/>
    <n v="80"/>
    <n v="2"/>
    <n v="7"/>
    <n v="5"/>
    <n v="2"/>
    <x v="0"/>
    <n v="2"/>
    <n v="0"/>
    <n v="5"/>
  </r>
  <r>
    <n v="22"/>
    <x v="1"/>
    <s v="Non-Travel"/>
    <n v="1123"/>
    <x v="1"/>
    <x v="7"/>
    <n v="2"/>
    <s v="Medical"/>
    <n v="1"/>
    <n v="22"/>
    <n v="4"/>
    <x v="1"/>
    <n v="96"/>
    <n v="4"/>
    <x v="1"/>
    <x v="2"/>
    <n v="4"/>
    <s v="Divorced"/>
    <n v="2935"/>
    <n v="7324"/>
    <n v="1"/>
    <s v="Y"/>
    <x v="0"/>
    <n v="13"/>
    <n v="3"/>
    <n v="2"/>
    <n v="80"/>
    <n v="2"/>
    <n v="1"/>
    <n v="2"/>
    <n v="2"/>
    <x v="6"/>
    <n v="0"/>
    <n v="0"/>
    <n v="0"/>
  </r>
  <r>
    <n v="53"/>
    <x v="1"/>
    <s v="Travel_Rarely"/>
    <n v="1219"/>
    <x v="0"/>
    <x v="2"/>
    <n v="4"/>
    <s v="Life Sciences"/>
    <n v="1"/>
    <n v="23"/>
    <n v="1"/>
    <x v="0"/>
    <n v="78"/>
    <n v="2"/>
    <x v="3"/>
    <x v="5"/>
    <n v="4"/>
    <s v="Married"/>
    <n v="15427"/>
    <n v="22021"/>
    <n v="2"/>
    <s v="Y"/>
    <x v="1"/>
    <n v="16"/>
    <n v="3"/>
    <n v="3"/>
    <n v="80"/>
    <n v="0"/>
    <n v="31"/>
    <n v="3"/>
    <n v="3"/>
    <x v="10"/>
    <n v="8"/>
    <n v="3"/>
    <n v="7"/>
  </r>
  <r>
    <n v="38"/>
    <x v="1"/>
    <s v="Travel_Rarely"/>
    <n v="371"/>
    <x v="1"/>
    <x v="2"/>
    <n v="3"/>
    <s v="Life Sciences"/>
    <n v="1"/>
    <n v="24"/>
    <n v="4"/>
    <x v="1"/>
    <n v="45"/>
    <n v="3"/>
    <x v="1"/>
    <x v="1"/>
    <n v="4"/>
    <s v="Single"/>
    <n v="3944"/>
    <n v="4306"/>
    <n v="5"/>
    <s v="Y"/>
    <x v="0"/>
    <n v="11"/>
    <n v="3"/>
    <n v="3"/>
    <n v="80"/>
    <n v="0"/>
    <n v="6"/>
    <n v="3"/>
    <n v="3"/>
    <x v="11"/>
    <n v="2"/>
    <n v="1"/>
    <n v="2"/>
  </r>
  <r>
    <n v="24"/>
    <x v="1"/>
    <s v="Non-Travel"/>
    <n v="673"/>
    <x v="1"/>
    <x v="13"/>
    <n v="2"/>
    <s v="Other"/>
    <n v="1"/>
    <n v="26"/>
    <n v="1"/>
    <x v="0"/>
    <n v="96"/>
    <n v="4"/>
    <x v="0"/>
    <x v="3"/>
    <n v="3"/>
    <s v="Divorced"/>
    <n v="4011"/>
    <n v="8232"/>
    <n v="0"/>
    <s v="Y"/>
    <x v="1"/>
    <n v="18"/>
    <n v="3"/>
    <n v="4"/>
    <n v="80"/>
    <n v="1"/>
    <n v="5"/>
    <n v="5"/>
    <n v="2"/>
    <x v="9"/>
    <n v="2"/>
    <n v="1"/>
    <n v="3"/>
  </r>
  <r>
    <n v="36"/>
    <x v="0"/>
    <s v="Travel_Rarely"/>
    <n v="1218"/>
    <x v="0"/>
    <x v="14"/>
    <n v="4"/>
    <s v="Life Sciences"/>
    <n v="1"/>
    <n v="27"/>
    <n v="3"/>
    <x v="1"/>
    <n v="82"/>
    <n v="2"/>
    <x v="1"/>
    <x v="6"/>
    <n v="1"/>
    <s v="Single"/>
    <n v="3407"/>
    <n v="6986"/>
    <n v="7"/>
    <s v="Y"/>
    <x v="1"/>
    <n v="23"/>
    <n v="4"/>
    <n v="2"/>
    <n v="80"/>
    <n v="0"/>
    <n v="10"/>
    <n v="4"/>
    <n v="3"/>
    <x v="8"/>
    <n v="3"/>
    <n v="0"/>
    <n v="3"/>
  </r>
  <r>
    <n v="34"/>
    <x v="1"/>
    <s v="Travel_Rarely"/>
    <n v="419"/>
    <x v="1"/>
    <x v="15"/>
    <n v="4"/>
    <s v="Life Sciences"/>
    <n v="1"/>
    <n v="28"/>
    <n v="1"/>
    <x v="0"/>
    <n v="53"/>
    <n v="3"/>
    <x v="2"/>
    <x v="7"/>
    <n v="2"/>
    <s v="Single"/>
    <n v="11994"/>
    <n v="21293"/>
    <n v="0"/>
    <s v="Y"/>
    <x v="1"/>
    <n v="11"/>
    <n v="3"/>
    <n v="3"/>
    <n v="80"/>
    <n v="0"/>
    <n v="13"/>
    <n v="4"/>
    <n v="3"/>
    <x v="12"/>
    <n v="6"/>
    <n v="2"/>
    <n v="11"/>
  </r>
  <r>
    <n v="21"/>
    <x v="1"/>
    <s v="Travel_Rarely"/>
    <n v="391"/>
    <x v="1"/>
    <x v="8"/>
    <n v="2"/>
    <s v="Life Sciences"/>
    <n v="1"/>
    <n v="30"/>
    <n v="3"/>
    <x v="1"/>
    <n v="96"/>
    <n v="3"/>
    <x v="1"/>
    <x v="1"/>
    <n v="4"/>
    <s v="Single"/>
    <n v="1232"/>
    <n v="19281"/>
    <n v="1"/>
    <s v="Y"/>
    <x v="1"/>
    <n v="14"/>
    <n v="3"/>
    <n v="4"/>
    <n v="80"/>
    <n v="0"/>
    <n v="0"/>
    <n v="6"/>
    <n v="3"/>
    <x v="2"/>
    <n v="0"/>
    <n v="0"/>
    <n v="0"/>
  </r>
  <r>
    <n v="34"/>
    <x v="0"/>
    <s v="Travel_Rarely"/>
    <n v="699"/>
    <x v="1"/>
    <x v="16"/>
    <n v="1"/>
    <s v="Medical"/>
    <n v="1"/>
    <n v="31"/>
    <n v="2"/>
    <x v="1"/>
    <n v="83"/>
    <n v="3"/>
    <x v="1"/>
    <x v="1"/>
    <n v="1"/>
    <s v="Single"/>
    <n v="2960"/>
    <n v="17102"/>
    <n v="2"/>
    <s v="Y"/>
    <x v="1"/>
    <n v="11"/>
    <n v="3"/>
    <n v="3"/>
    <n v="80"/>
    <n v="0"/>
    <n v="8"/>
    <n v="2"/>
    <n v="3"/>
    <x v="9"/>
    <n v="2"/>
    <n v="1"/>
    <n v="3"/>
  </r>
  <r>
    <n v="53"/>
    <x v="1"/>
    <s v="Travel_Rarely"/>
    <n v="1282"/>
    <x v="1"/>
    <x v="12"/>
    <n v="3"/>
    <s v="Other"/>
    <n v="1"/>
    <n v="32"/>
    <n v="3"/>
    <x v="0"/>
    <n v="58"/>
    <n v="3"/>
    <x v="4"/>
    <x v="5"/>
    <n v="3"/>
    <s v="Divorced"/>
    <n v="19094"/>
    <n v="10735"/>
    <n v="4"/>
    <s v="Y"/>
    <x v="1"/>
    <n v="11"/>
    <n v="3"/>
    <n v="4"/>
    <n v="80"/>
    <n v="1"/>
    <n v="26"/>
    <n v="3"/>
    <n v="2"/>
    <x v="13"/>
    <n v="13"/>
    <n v="4"/>
    <n v="8"/>
  </r>
  <r>
    <n v="32"/>
    <x v="0"/>
    <s v="Travel_Frequently"/>
    <n v="1125"/>
    <x v="1"/>
    <x v="7"/>
    <n v="1"/>
    <s v="Life Sciences"/>
    <n v="1"/>
    <n v="33"/>
    <n v="2"/>
    <x v="0"/>
    <n v="72"/>
    <n v="1"/>
    <x v="1"/>
    <x v="1"/>
    <n v="1"/>
    <s v="Single"/>
    <n v="3919"/>
    <n v="4681"/>
    <n v="1"/>
    <s v="Y"/>
    <x v="0"/>
    <n v="22"/>
    <n v="4"/>
    <n v="2"/>
    <n v="80"/>
    <n v="0"/>
    <n v="10"/>
    <n v="5"/>
    <n v="3"/>
    <x v="1"/>
    <n v="2"/>
    <n v="6"/>
    <n v="7"/>
  </r>
  <r>
    <n v="42"/>
    <x v="1"/>
    <s v="Travel_Rarely"/>
    <n v="691"/>
    <x v="0"/>
    <x v="1"/>
    <n v="4"/>
    <s v="Marketing"/>
    <n v="1"/>
    <n v="35"/>
    <n v="3"/>
    <x v="1"/>
    <n v="48"/>
    <n v="3"/>
    <x v="0"/>
    <x v="0"/>
    <n v="2"/>
    <s v="Married"/>
    <n v="6825"/>
    <n v="21173"/>
    <n v="0"/>
    <s v="Y"/>
    <x v="1"/>
    <n v="11"/>
    <n v="3"/>
    <n v="4"/>
    <n v="80"/>
    <n v="1"/>
    <n v="10"/>
    <n v="2"/>
    <n v="3"/>
    <x v="7"/>
    <n v="7"/>
    <n v="4"/>
    <n v="2"/>
  </r>
  <r>
    <n v="44"/>
    <x v="1"/>
    <s v="Travel_Rarely"/>
    <n v="477"/>
    <x v="1"/>
    <x v="15"/>
    <n v="4"/>
    <s v="Medical"/>
    <n v="1"/>
    <n v="36"/>
    <n v="1"/>
    <x v="0"/>
    <n v="42"/>
    <n v="2"/>
    <x v="2"/>
    <x v="4"/>
    <n v="4"/>
    <s v="Married"/>
    <n v="10248"/>
    <n v="2094"/>
    <n v="3"/>
    <s v="Y"/>
    <x v="1"/>
    <n v="14"/>
    <n v="3"/>
    <n v="4"/>
    <n v="80"/>
    <n v="1"/>
    <n v="24"/>
    <n v="4"/>
    <n v="3"/>
    <x v="14"/>
    <n v="6"/>
    <n v="5"/>
    <n v="17"/>
  </r>
  <r>
    <n v="46"/>
    <x v="1"/>
    <s v="Travel_Rarely"/>
    <n v="705"/>
    <x v="0"/>
    <x v="2"/>
    <n v="4"/>
    <s v="Marketing"/>
    <n v="1"/>
    <n v="38"/>
    <n v="2"/>
    <x v="0"/>
    <n v="83"/>
    <n v="3"/>
    <x v="4"/>
    <x v="5"/>
    <n v="1"/>
    <s v="Single"/>
    <n v="18947"/>
    <n v="22822"/>
    <n v="3"/>
    <s v="Y"/>
    <x v="1"/>
    <n v="12"/>
    <n v="3"/>
    <n v="4"/>
    <n v="80"/>
    <n v="0"/>
    <n v="22"/>
    <n v="2"/>
    <n v="2"/>
    <x v="4"/>
    <n v="2"/>
    <n v="2"/>
    <n v="1"/>
  </r>
  <r>
    <n v="33"/>
    <x v="1"/>
    <s v="Travel_Rarely"/>
    <n v="924"/>
    <x v="1"/>
    <x v="2"/>
    <n v="3"/>
    <s v="Medical"/>
    <n v="1"/>
    <n v="39"/>
    <n v="3"/>
    <x v="1"/>
    <n v="78"/>
    <n v="3"/>
    <x v="1"/>
    <x v="2"/>
    <n v="4"/>
    <s v="Single"/>
    <n v="2496"/>
    <n v="6670"/>
    <n v="4"/>
    <s v="Y"/>
    <x v="1"/>
    <n v="11"/>
    <n v="3"/>
    <n v="4"/>
    <n v="80"/>
    <n v="0"/>
    <n v="7"/>
    <n v="3"/>
    <n v="3"/>
    <x v="6"/>
    <n v="1"/>
    <n v="0"/>
    <n v="0"/>
  </r>
  <r>
    <n v="44"/>
    <x v="1"/>
    <s v="Travel_Rarely"/>
    <n v="1459"/>
    <x v="1"/>
    <x v="17"/>
    <n v="4"/>
    <s v="Other"/>
    <n v="1"/>
    <n v="40"/>
    <n v="4"/>
    <x v="1"/>
    <n v="41"/>
    <n v="3"/>
    <x v="0"/>
    <x v="4"/>
    <n v="4"/>
    <s v="Married"/>
    <n v="6465"/>
    <n v="19121"/>
    <n v="2"/>
    <s v="Y"/>
    <x v="0"/>
    <n v="13"/>
    <n v="3"/>
    <n v="4"/>
    <n v="80"/>
    <n v="0"/>
    <n v="9"/>
    <n v="5"/>
    <n v="4"/>
    <x v="9"/>
    <n v="2"/>
    <n v="1"/>
    <n v="3"/>
  </r>
  <r>
    <n v="30"/>
    <x v="1"/>
    <s v="Travel_Rarely"/>
    <n v="125"/>
    <x v="1"/>
    <x v="14"/>
    <n v="2"/>
    <s v="Medical"/>
    <n v="1"/>
    <n v="41"/>
    <n v="4"/>
    <x v="1"/>
    <n v="83"/>
    <n v="2"/>
    <x v="1"/>
    <x v="2"/>
    <n v="3"/>
    <s v="Single"/>
    <n v="2206"/>
    <n v="16117"/>
    <n v="1"/>
    <s v="Y"/>
    <x v="1"/>
    <n v="13"/>
    <n v="3"/>
    <n v="1"/>
    <n v="80"/>
    <n v="0"/>
    <n v="10"/>
    <n v="5"/>
    <n v="3"/>
    <x v="1"/>
    <n v="0"/>
    <n v="1"/>
    <n v="8"/>
  </r>
  <r>
    <n v="39"/>
    <x v="0"/>
    <s v="Travel_Rarely"/>
    <n v="895"/>
    <x v="0"/>
    <x v="12"/>
    <n v="3"/>
    <s v="Technical Degree"/>
    <n v="1"/>
    <n v="42"/>
    <n v="4"/>
    <x v="1"/>
    <n v="56"/>
    <n v="3"/>
    <x v="0"/>
    <x v="6"/>
    <n v="4"/>
    <s v="Married"/>
    <n v="2086"/>
    <n v="3335"/>
    <n v="3"/>
    <s v="Y"/>
    <x v="1"/>
    <n v="14"/>
    <n v="3"/>
    <n v="3"/>
    <n v="80"/>
    <n v="1"/>
    <n v="19"/>
    <n v="6"/>
    <n v="4"/>
    <x v="6"/>
    <n v="0"/>
    <n v="0"/>
    <n v="0"/>
  </r>
  <r>
    <n v="24"/>
    <x v="0"/>
    <s v="Travel_Rarely"/>
    <n v="813"/>
    <x v="1"/>
    <x v="0"/>
    <n v="3"/>
    <s v="Medical"/>
    <n v="1"/>
    <n v="45"/>
    <n v="2"/>
    <x v="1"/>
    <n v="61"/>
    <n v="3"/>
    <x v="1"/>
    <x v="1"/>
    <n v="4"/>
    <s v="Married"/>
    <n v="2293"/>
    <n v="3020"/>
    <n v="2"/>
    <s v="Y"/>
    <x v="0"/>
    <n v="16"/>
    <n v="3"/>
    <n v="1"/>
    <n v="80"/>
    <n v="1"/>
    <n v="6"/>
    <n v="2"/>
    <n v="2"/>
    <x v="4"/>
    <n v="0"/>
    <n v="2"/>
    <n v="0"/>
  </r>
  <r>
    <n v="43"/>
    <x v="1"/>
    <s v="Travel_Rarely"/>
    <n v="1273"/>
    <x v="1"/>
    <x v="2"/>
    <n v="2"/>
    <s v="Medical"/>
    <n v="1"/>
    <n v="46"/>
    <n v="4"/>
    <x v="0"/>
    <n v="72"/>
    <n v="4"/>
    <x v="1"/>
    <x v="1"/>
    <n v="3"/>
    <s v="Divorced"/>
    <n v="2645"/>
    <n v="21923"/>
    <n v="1"/>
    <s v="Y"/>
    <x v="1"/>
    <n v="12"/>
    <n v="3"/>
    <n v="4"/>
    <n v="80"/>
    <n v="2"/>
    <n v="6"/>
    <n v="3"/>
    <n v="2"/>
    <x v="8"/>
    <n v="3"/>
    <n v="1"/>
    <n v="4"/>
  </r>
  <r>
    <n v="50"/>
    <x v="0"/>
    <s v="Travel_Rarely"/>
    <n v="869"/>
    <x v="0"/>
    <x v="3"/>
    <n v="2"/>
    <s v="Marketing"/>
    <n v="1"/>
    <n v="47"/>
    <n v="1"/>
    <x v="1"/>
    <n v="86"/>
    <n v="2"/>
    <x v="1"/>
    <x v="6"/>
    <n v="3"/>
    <s v="Married"/>
    <n v="2683"/>
    <n v="3810"/>
    <n v="1"/>
    <s v="Y"/>
    <x v="0"/>
    <n v="14"/>
    <n v="3"/>
    <n v="3"/>
    <n v="80"/>
    <n v="0"/>
    <n v="3"/>
    <n v="2"/>
    <n v="3"/>
    <x v="11"/>
    <n v="2"/>
    <n v="0"/>
    <n v="2"/>
  </r>
  <r>
    <n v="35"/>
    <x v="1"/>
    <s v="Travel_Rarely"/>
    <n v="890"/>
    <x v="0"/>
    <x v="2"/>
    <n v="3"/>
    <s v="Marketing"/>
    <n v="1"/>
    <n v="49"/>
    <n v="4"/>
    <x v="0"/>
    <n v="97"/>
    <n v="3"/>
    <x v="1"/>
    <x v="6"/>
    <n v="4"/>
    <s v="Married"/>
    <n v="2014"/>
    <n v="9687"/>
    <n v="1"/>
    <s v="Y"/>
    <x v="1"/>
    <n v="13"/>
    <n v="3"/>
    <n v="1"/>
    <n v="80"/>
    <n v="0"/>
    <n v="2"/>
    <n v="3"/>
    <n v="3"/>
    <x v="4"/>
    <n v="2"/>
    <n v="2"/>
    <n v="2"/>
  </r>
  <r>
    <n v="36"/>
    <x v="1"/>
    <s v="Travel_Rarely"/>
    <n v="852"/>
    <x v="1"/>
    <x v="12"/>
    <n v="4"/>
    <s v="Life Sciences"/>
    <n v="1"/>
    <n v="51"/>
    <n v="2"/>
    <x v="0"/>
    <n v="82"/>
    <n v="2"/>
    <x v="1"/>
    <x v="1"/>
    <n v="1"/>
    <s v="Married"/>
    <n v="3419"/>
    <n v="13072"/>
    <n v="9"/>
    <s v="Y"/>
    <x v="0"/>
    <n v="14"/>
    <n v="3"/>
    <n v="4"/>
    <n v="80"/>
    <n v="1"/>
    <n v="6"/>
    <n v="3"/>
    <n v="4"/>
    <x v="6"/>
    <n v="1"/>
    <n v="0"/>
    <n v="0"/>
  </r>
  <r>
    <n v="33"/>
    <x v="1"/>
    <s v="Travel_Frequently"/>
    <n v="1141"/>
    <x v="0"/>
    <x v="0"/>
    <n v="3"/>
    <s v="Life Sciences"/>
    <n v="1"/>
    <n v="52"/>
    <n v="3"/>
    <x v="0"/>
    <n v="42"/>
    <n v="4"/>
    <x v="0"/>
    <x v="0"/>
    <n v="1"/>
    <s v="Married"/>
    <n v="5376"/>
    <n v="3193"/>
    <n v="2"/>
    <s v="Y"/>
    <x v="1"/>
    <n v="19"/>
    <n v="3"/>
    <n v="1"/>
    <n v="80"/>
    <n v="2"/>
    <n v="10"/>
    <n v="3"/>
    <n v="3"/>
    <x v="8"/>
    <n v="3"/>
    <n v="1"/>
    <n v="3"/>
  </r>
  <r>
    <n v="35"/>
    <x v="1"/>
    <s v="Travel_Rarely"/>
    <n v="464"/>
    <x v="1"/>
    <x v="18"/>
    <n v="2"/>
    <s v="Other"/>
    <n v="1"/>
    <n v="53"/>
    <n v="3"/>
    <x v="1"/>
    <n v="75"/>
    <n v="3"/>
    <x v="1"/>
    <x v="2"/>
    <n v="4"/>
    <s v="Divorced"/>
    <n v="1951"/>
    <n v="10910"/>
    <n v="1"/>
    <s v="Y"/>
    <x v="1"/>
    <n v="12"/>
    <n v="3"/>
    <n v="3"/>
    <n v="80"/>
    <n v="1"/>
    <n v="1"/>
    <n v="3"/>
    <n v="3"/>
    <x v="6"/>
    <n v="0"/>
    <n v="0"/>
    <n v="0"/>
  </r>
  <r>
    <n v="27"/>
    <x v="1"/>
    <s v="Travel_Rarely"/>
    <n v="1240"/>
    <x v="1"/>
    <x v="2"/>
    <n v="4"/>
    <s v="Life Sciences"/>
    <n v="1"/>
    <n v="54"/>
    <n v="4"/>
    <x v="0"/>
    <n v="33"/>
    <n v="3"/>
    <x v="1"/>
    <x v="2"/>
    <n v="1"/>
    <s v="Divorced"/>
    <n v="2341"/>
    <n v="19715"/>
    <n v="1"/>
    <s v="Y"/>
    <x v="1"/>
    <n v="13"/>
    <n v="3"/>
    <n v="4"/>
    <n v="80"/>
    <n v="1"/>
    <n v="1"/>
    <n v="6"/>
    <n v="3"/>
    <x v="6"/>
    <n v="0"/>
    <n v="0"/>
    <n v="0"/>
  </r>
  <r>
    <n v="26"/>
    <x v="0"/>
    <s v="Travel_Rarely"/>
    <n v="1357"/>
    <x v="1"/>
    <x v="19"/>
    <n v="3"/>
    <s v="Life Sciences"/>
    <n v="1"/>
    <n v="55"/>
    <n v="1"/>
    <x v="1"/>
    <n v="48"/>
    <n v="1"/>
    <x v="1"/>
    <x v="2"/>
    <n v="3"/>
    <s v="Single"/>
    <n v="2293"/>
    <n v="10558"/>
    <n v="1"/>
    <s v="Y"/>
    <x v="1"/>
    <n v="12"/>
    <n v="3"/>
    <n v="3"/>
    <n v="80"/>
    <n v="0"/>
    <n v="1"/>
    <n v="2"/>
    <n v="2"/>
    <x v="6"/>
    <n v="0"/>
    <n v="0"/>
    <n v="1"/>
  </r>
  <r>
    <n v="27"/>
    <x v="1"/>
    <s v="Travel_Frequently"/>
    <n v="994"/>
    <x v="0"/>
    <x v="1"/>
    <n v="3"/>
    <s v="Life Sciences"/>
    <n v="1"/>
    <n v="56"/>
    <n v="4"/>
    <x v="1"/>
    <n v="37"/>
    <n v="3"/>
    <x v="2"/>
    <x v="0"/>
    <n v="3"/>
    <s v="Single"/>
    <n v="8726"/>
    <n v="2975"/>
    <n v="1"/>
    <s v="Y"/>
    <x v="1"/>
    <n v="15"/>
    <n v="3"/>
    <n v="4"/>
    <n v="80"/>
    <n v="0"/>
    <n v="9"/>
    <n v="0"/>
    <n v="3"/>
    <x v="7"/>
    <n v="8"/>
    <n v="1"/>
    <n v="7"/>
  </r>
  <r>
    <n v="30"/>
    <x v="1"/>
    <s v="Travel_Frequently"/>
    <n v="721"/>
    <x v="1"/>
    <x v="0"/>
    <n v="2"/>
    <s v="Medical"/>
    <n v="1"/>
    <n v="57"/>
    <n v="3"/>
    <x v="0"/>
    <n v="58"/>
    <n v="3"/>
    <x v="0"/>
    <x v="2"/>
    <n v="4"/>
    <s v="Single"/>
    <n v="4011"/>
    <n v="10781"/>
    <n v="1"/>
    <s v="Y"/>
    <x v="1"/>
    <n v="23"/>
    <n v="4"/>
    <n v="4"/>
    <n v="80"/>
    <n v="0"/>
    <n v="12"/>
    <n v="2"/>
    <n v="3"/>
    <x v="12"/>
    <n v="8"/>
    <n v="3"/>
    <n v="7"/>
  </r>
  <r>
    <n v="41"/>
    <x v="0"/>
    <s v="Travel_Rarely"/>
    <n v="1360"/>
    <x v="1"/>
    <x v="20"/>
    <n v="3"/>
    <s v="Technical Degree"/>
    <n v="1"/>
    <n v="58"/>
    <n v="2"/>
    <x v="0"/>
    <n v="49"/>
    <n v="3"/>
    <x v="4"/>
    <x v="7"/>
    <n v="3"/>
    <s v="Married"/>
    <n v="19545"/>
    <n v="16280"/>
    <n v="1"/>
    <s v="Y"/>
    <x v="1"/>
    <n v="12"/>
    <n v="3"/>
    <n v="4"/>
    <n v="80"/>
    <n v="0"/>
    <n v="23"/>
    <n v="0"/>
    <n v="3"/>
    <x v="14"/>
    <n v="15"/>
    <n v="15"/>
    <n v="8"/>
  </r>
  <r>
    <n v="34"/>
    <x v="1"/>
    <s v="Non-Travel"/>
    <n v="1065"/>
    <x v="0"/>
    <x v="5"/>
    <n v="4"/>
    <s v="Marketing"/>
    <n v="1"/>
    <n v="60"/>
    <n v="2"/>
    <x v="1"/>
    <n v="72"/>
    <n v="3"/>
    <x v="0"/>
    <x v="0"/>
    <n v="3"/>
    <s v="Single"/>
    <n v="4568"/>
    <n v="10034"/>
    <n v="0"/>
    <s v="Y"/>
    <x v="1"/>
    <n v="20"/>
    <n v="4"/>
    <n v="3"/>
    <n v="80"/>
    <n v="0"/>
    <n v="10"/>
    <n v="2"/>
    <n v="3"/>
    <x v="7"/>
    <n v="5"/>
    <n v="8"/>
    <n v="7"/>
  </r>
  <r>
    <n v="37"/>
    <x v="1"/>
    <s v="Travel_Rarely"/>
    <n v="408"/>
    <x v="1"/>
    <x v="10"/>
    <n v="2"/>
    <s v="Life Sciences"/>
    <n v="1"/>
    <n v="61"/>
    <n v="2"/>
    <x v="1"/>
    <n v="73"/>
    <n v="3"/>
    <x v="1"/>
    <x v="1"/>
    <n v="2"/>
    <s v="Married"/>
    <n v="3022"/>
    <n v="10227"/>
    <n v="4"/>
    <s v="Y"/>
    <x v="1"/>
    <n v="21"/>
    <n v="4"/>
    <n v="1"/>
    <n v="80"/>
    <n v="0"/>
    <n v="8"/>
    <n v="1"/>
    <n v="3"/>
    <x v="6"/>
    <n v="0"/>
    <n v="0"/>
    <n v="0"/>
  </r>
  <r>
    <n v="46"/>
    <x v="1"/>
    <s v="Travel_Frequently"/>
    <n v="1211"/>
    <x v="0"/>
    <x v="12"/>
    <n v="4"/>
    <s v="Marketing"/>
    <n v="1"/>
    <n v="62"/>
    <n v="1"/>
    <x v="1"/>
    <n v="98"/>
    <n v="3"/>
    <x v="0"/>
    <x v="0"/>
    <n v="4"/>
    <s v="Single"/>
    <n v="5772"/>
    <n v="20445"/>
    <n v="4"/>
    <s v="Y"/>
    <x v="0"/>
    <n v="21"/>
    <n v="4"/>
    <n v="3"/>
    <n v="80"/>
    <n v="0"/>
    <n v="14"/>
    <n v="4"/>
    <n v="3"/>
    <x v="7"/>
    <n v="6"/>
    <n v="0"/>
    <n v="8"/>
  </r>
  <r>
    <n v="35"/>
    <x v="1"/>
    <s v="Travel_Rarely"/>
    <n v="1229"/>
    <x v="1"/>
    <x v="1"/>
    <n v="1"/>
    <s v="Life Sciences"/>
    <n v="1"/>
    <n v="63"/>
    <n v="4"/>
    <x v="1"/>
    <n v="36"/>
    <n v="4"/>
    <x v="1"/>
    <x v="2"/>
    <n v="4"/>
    <s v="Married"/>
    <n v="2269"/>
    <n v="4892"/>
    <n v="1"/>
    <s v="Y"/>
    <x v="1"/>
    <n v="19"/>
    <n v="3"/>
    <n v="4"/>
    <n v="80"/>
    <n v="0"/>
    <n v="1"/>
    <n v="2"/>
    <n v="3"/>
    <x v="6"/>
    <n v="0"/>
    <n v="0"/>
    <n v="1"/>
  </r>
  <r>
    <n v="48"/>
    <x v="0"/>
    <s v="Travel_Rarely"/>
    <n v="626"/>
    <x v="1"/>
    <x v="0"/>
    <n v="2"/>
    <s v="Life Sciences"/>
    <n v="1"/>
    <n v="64"/>
    <n v="1"/>
    <x v="1"/>
    <n v="98"/>
    <n v="2"/>
    <x v="2"/>
    <x v="2"/>
    <n v="3"/>
    <s v="Single"/>
    <n v="5381"/>
    <n v="19294"/>
    <n v="9"/>
    <s v="Y"/>
    <x v="0"/>
    <n v="13"/>
    <n v="3"/>
    <n v="4"/>
    <n v="80"/>
    <n v="0"/>
    <n v="23"/>
    <n v="2"/>
    <n v="3"/>
    <x v="6"/>
    <n v="0"/>
    <n v="0"/>
    <n v="0"/>
  </r>
  <r>
    <n v="28"/>
    <x v="0"/>
    <s v="Travel_Rarely"/>
    <n v="1434"/>
    <x v="1"/>
    <x v="12"/>
    <n v="4"/>
    <s v="Technical Degree"/>
    <n v="1"/>
    <n v="65"/>
    <n v="3"/>
    <x v="1"/>
    <n v="50"/>
    <n v="3"/>
    <x v="1"/>
    <x v="2"/>
    <n v="3"/>
    <s v="Single"/>
    <n v="3441"/>
    <n v="11179"/>
    <n v="1"/>
    <s v="Y"/>
    <x v="0"/>
    <n v="13"/>
    <n v="3"/>
    <n v="3"/>
    <n v="80"/>
    <n v="0"/>
    <n v="2"/>
    <n v="3"/>
    <n v="2"/>
    <x v="4"/>
    <n v="2"/>
    <n v="2"/>
    <n v="2"/>
  </r>
  <r>
    <n v="44"/>
    <x v="1"/>
    <s v="Travel_Rarely"/>
    <n v="1488"/>
    <x v="0"/>
    <x v="0"/>
    <n v="5"/>
    <s v="Marketing"/>
    <n v="1"/>
    <n v="68"/>
    <n v="2"/>
    <x v="0"/>
    <n v="75"/>
    <n v="3"/>
    <x v="0"/>
    <x v="0"/>
    <n v="1"/>
    <s v="Divorced"/>
    <n v="5454"/>
    <n v="4009"/>
    <n v="5"/>
    <s v="Y"/>
    <x v="0"/>
    <n v="21"/>
    <n v="4"/>
    <n v="3"/>
    <n v="80"/>
    <n v="1"/>
    <n v="9"/>
    <n v="2"/>
    <n v="2"/>
    <x v="9"/>
    <n v="3"/>
    <n v="1"/>
    <n v="3"/>
  </r>
  <r>
    <n v="35"/>
    <x v="1"/>
    <s v="Non-Travel"/>
    <n v="1097"/>
    <x v="1"/>
    <x v="13"/>
    <n v="2"/>
    <s v="Medical"/>
    <n v="1"/>
    <n v="70"/>
    <n v="3"/>
    <x v="1"/>
    <n v="79"/>
    <n v="2"/>
    <x v="2"/>
    <x v="4"/>
    <n v="1"/>
    <s v="Married"/>
    <n v="9884"/>
    <n v="8302"/>
    <n v="2"/>
    <s v="Y"/>
    <x v="0"/>
    <n v="13"/>
    <n v="3"/>
    <n v="3"/>
    <n v="80"/>
    <n v="1"/>
    <n v="10"/>
    <n v="3"/>
    <n v="3"/>
    <x v="9"/>
    <n v="0"/>
    <n v="2"/>
    <n v="3"/>
  </r>
  <r>
    <n v="26"/>
    <x v="1"/>
    <s v="Travel_Rarely"/>
    <n v="1443"/>
    <x v="0"/>
    <x v="5"/>
    <n v="3"/>
    <s v="Marketing"/>
    <n v="1"/>
    <n v="72"/>
    <n v="3"/>
    <x v="0"/>
    <n v="47"/>
    <n v="2"/>
    <x v="0"/>
    <x v="0"/>
    <n v="4"/>
    <s v="Married"/>
    <n v="4157"/>
    <n v="21436"/>
    <n v="7"/>
    <s v="Y"/>
    <x v="0"/>
    <n v="19"/>
    <n v="3"/>
    <n v="3"/>
    <n v="80"/>
    <n v="1"/>
    <n v="5"/>
    <n v="2"/>
    <n v="2"/>
    <x v="4"/>
    <n v="2"/>
    <n v="0"/>
    <n v="0"/>
  </r>
  <r>
    <n v="33"/>
    <x v="1"/>
    <s v="Travel_Frequently"/>
    <n v="515"/>
    <x v="1"/>
    <x v="0"/>
    <n v="2"/>
    <s v="Life Sciences"/>
    <n v="1"/>
    <n v="73"/>
    <n v="1"/>
    <x v="0"/>
    <n v="98"/>
    <n v="3"/>
    <x v="2"/>
    <x v="7"/>
    <n v="4"/>
    <s v="Single"/>
    <n v="13458"/>
    <n v="15146"/>
    <n v="1"/>
    <s v="Y"/>
    <x v="0"/>
    <n v="12"/>
    <n v="3"/>
    <n v="3"/>
    <n v="80"/>
    <n v="0"/>
    <n v="15"/>
    <n v="1"/>
    <n v="3"/>
    <x v="15"/>
    <n v="14"/>
    <n v="8"/>
    <n v="12"/>
  </r>
  <r>
    <n v="35"/>
    <x v="1"/>
    <s v="Travel_Frequently"/>
    <n v="853"/>
    <x v="0"/>
    <x v="21"/>
    <n v="5"/>
    <s v="Life Sciences"/>
    <n v="1"/>
    <n v="74"/>
    <n v="2"/>
    <x v="1"/>
    <n v="71"/>
    <n v="3"/>
    <x v="2"/>
    <x v="0"/>
    <n v="1"/>
    <s v="Married"/>
    <n v="9069"/>
    <n v="11031"/>
    <n v="1"/>
    <s v="Y"/>
    <x v="1"/>
    <n v="22"/>
    <n v="4"/>
    <n v="4"/>
    <n v="80"/>
    <n v="1"/>
    <n v="9"/>
    <n v="3"/>
    <n v="2"/>
    <x v="7"/>
    <n v="8"/>
    <n v="1"/>
    <n v="8"/>
  </r>
  <r>
    <n v="35"/>
    <x v="1"/>
    <s v="Travel_Rarely"/>
    <n v="1142"/>
    <x v="1"/>
    <x v="5"/>
    <n v="4"/>
    <s v="Medical"/>
    <n v="1"/>
    <n v="75"/>
    <n v="3"/>
    <x v="0"/>
    <n v="30"/>
    <n v="3"/>
    <x v="1"/>
    <x v="2"/>
    <n v="1"/>
    <s v="Married"/>
    <n v="4014"/>
    <n v="16002"/>
    <n v="3"/>
    <s v="Y"/>
    <x v="0"/>
    <n v="15"/>
    <n v="3"/>
    <n v="3"/>
    <n v="80"/>
    <n v="1"/>
    <n v="4"/>
    <n v="3"/>
    <n v="3"/>
    <x v="4"/>
    <n v="2"/>
    <n v="2"/>
    <n v="2"/>
  </r>
  <r>
    <n v="31"/>
    <x v="1"/>
    <s v="Travel_Rarely"/>
    <n v="655"/>
    <x v="1"/>
    <x v="15"/>
    <n v="4"/>
    <s v="Life Sciences"/>
    <n v="1"/>
    <n v="76"/>
    <n v="4"/>
    <x v="1"/>
    <n v="48"/>
    <n v="3"/>
    <x v="0"/>
    <x v="2"/>
    <n v="4"/>
    <s v="Divorced"/>
    <n v="5915"/>
    <n v="9528"/>
    <n v="3"/>
    <s v="Y"/>
    <x v="1"/>
    <n v="22"/>
    <n v="4"/>
    <n v="4"/>
    <n v="80"/>
    <n v="1"/>
    <n v="10"/>
    <n v="3"/>
    <n v="2"/>
    <x v="5"/>
    <n v="7"/>
    <n v="1"/>
    <n v="7"/>
  </r>
  <r>
    <n v="37"/>
    <x v="1"/>
    <s v="Travel_Rarely"/>
    <n v="1115"/>
    <x v="1"/>
    <x v="0"/>
    <n v="4"/>
    <s v="Life Sciences"/>
    <n v="1"/>
    <n v="77"/>
    <n v="1"/>
    <x v="1"/>
    <n v="51"/>
    <n v="2"/>
    <x v="0"/>
    <x v="3"/>
    <n v="3"/>
    <s v="Divorced"/>
    <n v="5993"/>
    <n v="2689"/>
    <n v="1"/>
    <s v="Y"/>
    <x v="1"/>
    <n v="18"/>
    <n v="3"/>
    <n v="3"/>
    <n v="80"/>
    <n v="1"/>
    <n v="7"/>
    <n v="2"/>
    <n v="4"/>
    <x v="5"/>
    <n v="5"/>
    <n v="0"/>
    <n v="7"/>
  </r>
  <r>
    <n v="32"/>
    <x v="1"/>
    <s v="Travel_Rarely"/>
    <n v="427"/>
    <x v="1"/>
    <x v="0"/>
    <n v="3"/>
    <s v="Medical"/>
    <n v="1"/>
    <n v="78"/>
    <n v="1"/>
    <x v="1"/>
    <n v="33"/>
    <n v="3"/>
    <x v="0"/>
    <x v="3"/>
    <n v="4"/>
    <s v="Married"/>
    <n v="6162"/>
    <n v="10877"/>
    <n v="1"/>
    <s v="Y"/>
    <x v="0"/>
    <n v="22"/>
    <n v="4"/>
    <n v="2"/>
    <n v="80"/>
    <n v="1"/>
    <n v="9"/>
    <n v="3"/>
    <n v="3"/>
    <x v="7"/>
    <n v="8"/>
    <n v="7"/>
    <n v="8"/>
  </r>
  <r>
    <n v="38"/>
    <x v="1"/>
    <s v="Travel_Frequently"/>
    <n v="653"/>
    <x v="1"/>
    <x v="22"/>
    <n v="5"/>
    <s v="Life Sciences"/>
    <n v="1"/>
    <n v="79"/>
    <n v="4"/>
    <x v="0"/>
    <n v="50"/>
    <n v="3"/>
    <x v="0"/>
    <x v="2"/>
    <n v="4"/>
    <s v="Single"/>
    <n v="2406"/>
    <n v="5456"/>
    <n v="1"/>
    <s v="Y"/>
    <x v="1"/>
    <n v="11"/>
    <n v="3"/>
    <n v="4"/>
    <n v="80"/>
    <n v="0"/>
    <n v="10"/>
    <n v="2"/>
    <n v="3"/>
    <x v="1"/>
    <n v="3"/>
    <n v="9"/>
    <n v="9"/>
  </r>
  <r>
    <n v="50"/>
    <x v="1"/>
    <s v="Travel_Rarely"/>
    <n v="989"/>
    <x v="1"/>
    <x v="15"/>
    <n v="2"/>
    <s v="Medical"/>
    <n v="1"/>
    <n v="80"/>
    <n v="2"/>
    <x v="0"/>
    <n v="43"/>
    <n v="2"/>
    <x v="4"/>
    <x v="7"/>
    <n v="3"/>
    <s v="Divorced"/>
    <n v="18740"/>
    <n v="16701"/>
    <n v="5"/>
    <s v="Y"/>
    <x v="0"/>
    <n v="12"/>
    <n v="3"/>
    <n v="4"/>
    <n v="80"/>
    <n v="1"/>
    <n v="29"/>
    <n v="2"/>
    <n v="2"/>
    <x v="16"/>
    <n v="3"/>
    <n v="13"/>
    <n v="8"/>
  </r>
  <r>
    <n v="59"/>
    <x v="1"/>
    <s v="Travel_Rarely"/>
    <n v="1435"/>
    <x v="0"/>
    <x v="19"/>
    <n v="3"/>
    <s v="Life Sciences"/>
    <n v="1"/>
    <n v="81"/>
    <n v="1"/>
    <x v="0"/>
    <n v="99"/>
    <n v="3"/>
    <x v="2"/>
    <x v="0"/>
    <n v="1"/>
    <s v="Single"/>
    <n v="7637"/>
    <n v="2354"/>
    <n v="7"/>
    <s v="Y"/>
    <x v="1"/>
    <n v="11"/>
    <n v="3"/>
    <n v="4"/>
    <n v="80"/>
    <n v="0"/>
    <n v="28"/>
    <n v="3"/>
    <n v="2"/>
    <x v="17"/>
    <n v="16"/>
    <n v="7"/>
    <n v="9"/>
  </r>
  <r>
    <n v="36"/>
    <x v="1"/>
    <s v="Travel_Rarely"/>
    <n v="1223"/>
    <x v="1"/>
    <x v="1"/>
    <n v="3"/>
    <s v="Technical Degree"/>
    <n v="1"/>
    <n v="83"/>
    <n v="3"/>
    <x v="0"/>
    <n v="59"/>
    <n v="3"/>
    <x v="2"/>
    <x v="4"/>
    <n v="3"/>
    <s v="Divorced"/>
    <n v="10096"/>
    <n v="8202"/>
    <n v="1"/>
    <s v="Y"/>
    <x v="1"/>
    <n v="13"/>
    <n v="3"/>
    <n v="2"/>
    <n v="80"/>
    <n v="3"/>
    <n v="17"/>
    <n v="2"/>
    <n v="3"/>
    <x v="18"/>
    <n v="14"/>
    <n v="12"/>
    <n v="8"/>
  </r>
  <r>
    <n v="55"/>
    <x v="1"/>
    <s v="Travel_Rarely"/>
    <n v="836"/>
    <x v="1"/>
    <x v="1"/>
    <n v="3"/>
    <s v="Medical"/>
    <n v="1"/>
    <n v="84"/>
    <n v="4"/>
    <x v="0"/>
    <n v="33"/>
    <n v="3"/>
    <x v="3"/>
    <x v="5"/>
    <n v="3"/>
    <s v="Divorced"/>
    <n v="14756"/>
    <n v="19730"/>
    <n v="2"/>
    <s v="Y"/>
    <x v="0"/>
    <n v="14"/>
    <n v="3"/>
    <n v="3"/>
    <n v="80"/>
    <n v="3"/>
    <n v="21"/>
    <n v="2"/>
    <n v="3"/>
    <x v="8"/>
    <n v="0"/>
    <n v="0"/>
    <n v="2"/>
  </r>
  <r>
    <n v="36"/>
    <x v="1"/>
    <s v="Travel_Frequently"/>
    <n v="1195"/>
    <x v="1"/>
    <x v="13"/>
    <n v="3"/>
    <s v="Life Sciences"/>
    <n v="1"/>
    <n v="85"/>
    <n v="2"/>
    <x v="1"/>
    <n v="95"/>
    <n v="2"/>
    <x v="0"/>
    <x v="3"/>
    <n v="2"/>
    <s v="Single"/>
    <n v="6499"/>
    <n v="22656"/>
    <n v="1"/>
    <s v="Y"/>
    <x v="1"/>
    <n v="13"/>
    <n v="3"/>
    <n v="3"/>
    <n v="80"/>
    <n v="0"/>
    <n v="6"/>
    <n v="3"/>
    <n v="3"/>
    <x v="0"/>
    <n v="5"/>
    <n v="0"/>
    <n v="3"/>
  </r>
  <r>
    <n v="45"/>
    <x v="1"/>
    <s v="Travel_Rarely"/>
    <n v="1339"/>
    <x v="1"/>
    <x v="15"/>
    <n v="3"/>
    <s v="Life Sciences"/>
    <n v="1"/>
    <n v="86"/>
    <n v="2"/>
    <x v="1"/>
    <n v="59"/>
    <n v="3"/>
    <x v="2"/>
    <x v="1"/>
    <n v="1"/>
    <s v="Divorced"/>
    <n v="9724"/>
    <n v="18787"/>
    <n v="2"/>
    <s v="Y"/>
    <x v="1"/>
    <n v="17"/>
    <n v="3"/>
    <n v="3"/>
    <n v="80"/>
    <n v="1"/>
    <n v="25"/>
    <n v="2"/>
    <n v="3"/>
    <x v="6"/>
    <n v="0"/>
    <n v="0"/>
    <n v="0"/>
  </r>
  <r>
    <n v="35"/>
    <x v="1"/>
    <s v="Travel_Frequently"/>
    <n v="664"/>
    <x v="1"/>
    <x v="0"/>
    <n v="3"/>
    <s v="Medical"/>
    <n v="1"/>
    <n v="88"/>
    <n v="2"/>
    <x v="1"/>
    <n v="79"/>
    <n v="3"/>
    <x v="1"/>
    <x v="1"/>
    <n v="1"/>
    <s v="Married"/>
    <n v="2194"/>
    <n v="5868"/>
    <n v="4"/>
    <s v="Y"/>
    <x v="1"/>
    <n v="13"/>
    <n v="3"/>
    <n v="4"/>
    <n v="80"/>
    <n v="1"/>
    <n v="5"/>
    <n v="2"/>
    <n v="2"/>
    <x v="11"/>
    <n v="2"/>
    <n v="1"/>
    <n v="2"/>
  </r>
  <r>
    <n v="36"/>
    <x v="0"/>
    <s v="Travel_Rarely"/>
    <n v="318"/>
    <x v="1"/>
    <x v="14"/>
    <n v="3"/>
    <s v="Medical"/>
    <n v="1"/>
    <n v="90"/>
    <n v="4"/>
    <x v="1"/>
    <n v="79"/>
    <n v="2"/>
    <x v="1"/>
    <x v="1"/>
    <n v="3"/>
    <s v="Married"/>
    <n v="3388"/>
    <n v="21777"/>
    <n v="0"/>
    <s v="Y"/>
    <x v="0"/>
    <n v="17"/>
    <n v="3"/>
    <n v="1"/>
    <n v="80"/>
    <n v="1"/>
    <n v="2"/>
    <n v="0"/>
    <n v="2"/>
    <x v="6"/>
    <n v="0"/>
    <n v="0"/>
    <n v="0"/>
  </r>
  <r>
    <n v="59"/>
    <x v="1"/>
    <s v="Travel_Frequently"/>
    <n v="1225"/>
    <x v="0"/>
    <x v="0"/>
    <n v="1"/>
    <s v="Life Sciences"/>
    <n v="1"/>
    <n v="91"/>
    <n v="1"/>
    <x v="0"/>
    <n v="57"/>
    <n v="2"/>
    <x v="0"/>
    <x v="0"/>
    <n v="3"/>
    <s v="Single"/>
    <n v="5473"/>
    <n v="24668"/>
    <n v="7"/>
    <s v="Y"/>
    <x v="1"/>
    <n v="11"/>
    <n v="3"/>
    <n v="4"/>
    <n v="80"/>
    <n v="0"/>
    <n v="20"/>
    <n v="2"/>
    <n v="2"/>
    <x v="9"/>
    <n v="3"/>
    <n v="1"/>
    <n v="3"/>
  </r>
  <r>
    <n v="29"/>
    <x v="1"/>
    <s v="Travel_Rarely"/>
    <n v="1328"/>
    <x v="1"/>
    <x v="2"/>
    <n v="3"/>
    <s v="Life Sciences"/>
    <n v="1"/>
    <n v="94"/>
    <n v="3"/>
    <x v="1"/>
    <n v="76"/>
    <n v="3"/>
    <x v="1"/>
    <x v="1"/>
    <n v="2"/>
    <s v="Married"/>
    <n v="2703"/>
    <n v="4956"/>
    <n v="0"/>
    <s v="Y"/>
    <x v="1"/>
    <n v="23"/>
    <n v="4"/>
    <n v="4"/>
    <n v="80"/>
    <n v="1"/>
    <n v="6"/>
    <n v="3"/>
    <n v="3"/>
    <x v="8"/>
    <n v="4"/>
    <n v="0"/>
    <n v="4"/>
  </r>
  <r>
    <n v="31"/>
    <x v="1"/>
    <s v="Travel_Rarely"/>
    <n v="1082"/>
    <x v="1"/>
    <x v="0"/>
    <n v="4"/>
    <s v="Medical"/>
    <n v="1"/>
    <n v="95"/>
    <n v="3"/>
    <x v="1"/>
    <n v="87"/>
    <n v="3"/>
    <x v="1"/>
    <x v="1"/>
    <n v="2"/>
    <s v="Single"/>
    <n v="2501"/>
    <n v="18775"/>
    <n v="1"/>
    <s v="Y"/>
    <x v="1"/>
    <n v="17"/>
    <n v="3"/>
    <n v="2"/>
    <n v="80"/>
    <n v="0"/>
    <n v="1"/>
    <n v="4"/>
    <n v="3"/>
    <x v="6"/>
    <n v="1"/>
    <n v="1"/>
    <n v="0"/>
  </r>
  <r>
    <n v="32"/>
    <x v="1"/>
    <s v="Travel_Rarely"/>
    <n v="548"/>
    <x v="1"/>
    <x v="0"/>
    <n v="3"/>
    <s v="Life Sciences"/>
    <n v="1"/>
    <n v="96"/>
    <n v="2"/>
    <x v="1"/>
    <n v="66"/>
    <n v="3"/>
    <x v="0"/>
    <x v="1"/>
    <n v="2"/>
    <s v="Married"/>
    <n v="6220"/>
    <n v="7346"/>
    <n v="1"/>
    <s v="Y"/>
    <x v="1"/>
    <n v="17"/>
    <n v="3"/>
    <n v="2"/>
    <n v="80"/>
    <n v="2"/>
    <n v="10"/>
    <n v="3"/>
    <n v="3"/>
    <x v="1"/>
    <n v="4"/>
    <n v="0"/>
    <n v="9"/>
  </r>
  <r>
    <n v="36"/>
    <x v="1"/>
    <s v="Travel_Rarely"/>
    <n v="132"/>
    <x v="1"/>
    <x v="16"/>
    <n v="3"/>
    <s v="Life Sciences"/>
    <n v="1"/>
    <n v="97"/>
    <n v="2"/>
    <x v="0"/>
    <n v="55"/>
    <n v="4"/>
    <x v="1"/>
    <x v="2"/>
    <n v="4"/>
    <s v="Married"/>
    <n v="3038"/>
    <n v="22002"/>
    <n v="3"/>
    <s v="Y"/>
    <x v="1"/>
    <n v="12"/>
    <n v="3"/>
    <n v="2"/>
    <n v="80"/>
    <n v="0"/>
    <n v="5"/>
    <n v="3"/>
    <n v="3"/>
    <x v="6"/>
    <n v="0"/>
    <n v="0"/>
    <n v="0"/>
  </r>
  <r>
    <n v="31"/>
    <x v="1"/>
    <s v="Travel_Rarely"/>
    <n v="746"/>
    <x v="1"/>
    <x v="1"/>
    <n v="4"/>
    <s v="Life Sciences"/>
    <n v="1"/>
    <n v="98"/>
    <n v="3"/>
    <x v="0"/>
    <n v="61"/>
    <n v="3"/>
    <x v="0"/>
    <x v="3"/>
    <n v="4"/>
    <s v="Single"/>
    <n v="4424"/>
    <n v="20682"/>
    <n v="1"/>
    <s v="Y"/>
    <x v="1"/>
    <n v="23"/>
    <n v="4"/>
    <n v="4"/>
    <n v="80"/>
    <n v="0"/>
    <n v="11"/>
    <n v="2"/>
    <n v="3"/>
    <x v="19"/>
    <n v="7"/>
    <n v="1"/>
    <n v="8"/>
  </r>
  <r>
    <n v="35"/>
    <x v="1"/>
    <s v="Travel_Rarely"/>
    <n v="776"/>
    <x v="0"/>
    <x v="0"/>
    <n v="4"/>
    <s v="Marketing"/>
    <n v="1"/>
    <n v="100"/>
    <n v="3"/>
    <x v="1"/>
    <n v="32"/>
    <n v="2"/>
    <x v="0"/>
    <x v="0"/>
    <n v="1"/>
    <s v="Single"/>
    <n v="4312"/>
    <n v="23016"/>
    <n v="0"/>
    <s v="Y"/>
    <x v="1"/>
    <n v="14"/>
    <n v="3"/>
    <n v="2"/>
    <n v="80"/>
    <n v="0"/>
    <n v="16"/>
    <n v="2"/>
    <n v="3"/>
    <x v="15"/>
    <n v="13"/>
    <n v="2"/>
    <n v="8"/>
  </r>
  <r>
    <n v="45"/>
    <x v="1"/>
    <s v="Travel_Rarely"/>
    <n v="193"/>
    <x v="1"/>
    <x v="16"/>
    <n v="4"/>
    <s v="Other"/>
    <n v="1"/>
    <n v="101"/>
    <n v="4"/>
    <x v="1"/>
    <n v="52"/>
    <n v="3"/>
    <x v="2"/>
    <x v="7"/>
    <n v="1"/>
    <s v="Married"/>
    <n v="13245"/>
    <n v="15067"/>
    <n v="4"/>
    <s v="Y"/>
    <x v="0"/>
    <n v="14"/>
    <n v="3"/>
    <n v="2"/>
    <n v="80"/>
    <n v="0"/>
    <n v="17"/>
    <n v="3"/>
    <n v="4"/>
    <x v="2"/>
    <n v="0"/>
    <n v="0"/>
    <n v="0"/>
  </r>
  <r>
    <n v="37"/>
    <x v="1"/>
    <s v="Travel_Rarely"/>
    <n v="397"/>
    <x v="1"/>
    <x v="15"/>
    <n v="4"/>
    <s v="Medical"/>
    <n v="1"/>
    <n v="102"/>
    <n v="1"/>
    <x v="1"/>
    <n v="30"/>
    <n v="3"/>
    <x v="2"/>
    <x v="7"/>
    <n v="3"/>
    <s v="Single"/>
    <n v="13664"/>
    <n v="25258"/>
    <n v="4"/>
    <s v="Y"/>
    <x v="1"/>
    <n v="13"/>
    <n v="3"/>
    <n v="1"/>
    <n v="80"/>
    <n v="0"/>
    <n v="16"/>
    <n v="3"/>
    <n v="4"/>
    <x v="8"/>
    <n v="2"/>
    <n v="0"/>
    <n v="2"/>
  </r>
  <r>
    <n v="46"/>
    <x v="1"/>
    <s v="Travel_Rarely"/>
    <n v="945"/>
    <x v="2"/>
    <x v="12"/>
    <n v="2"/>
    <s v="Medical"/>
    <n v="1"/>
    <n v="103"/>
    <n v="2"/>
    <x v="1"/>
    <n v="80"/>
    <n v="3"/>
    <x v="0"/>
    <x v="8"/>
    <n v="2"/>
    <s v="Divorced"/>
    <n v="5021"/>
    <n v="10425"/>
    <n v="8"/>
    <s v="Y"/>
    <x v="0"/>
    <n v="22"/>
    <n v="4"/>
    <n v="4"/>
    <n v="80"/>
    <n v="1"/>
    <n v="16"/>
    <n v="2"/>
    <n v="3"/>
    <x v="9"/>
    <n v="2"/>
    <n v="0"/>
    <n v="2"/>
  </r>
  <r>
    <n v="30"/>
    <x v="1"/>
    <s v="Travel_Rarely"/>
    <n v="852"/>
    <x v="1"/>
    <x v="0"/>
    <n v="1"/>
    <s v="Life Sciences"/>
    <n v="1"/>
    <n v="104"/>
    <n v="4"/>
    <x v="1"/>
    <n v="55"/>
    <n v="2"/>
    <x v="0"/>
    <x v="2"/>
    <n v="4"/>
    <s v="Married"/>
    <n v="5126"/>
    <n v="15998"/>
    <n v="1"/>
    <s v="Y"/>
    <x v="0"/>
    <n v="12"/>
    <n v="3"/>
    <n v="3"/>
    <n v="80"/>
    <n v="2"/>
    <n v="10"/>
    <n v="1"/>
    <n v="2"/>
    <x v="1"/>
    <n v="8"/>
    <n v="3"/>
    <n v="0"/>
  </r>
  <r>
    <n v="35"/>
    <x v="1"/>
    <s v="Travel_Rarely"/>
    <n v="1214"/>
    <x v="1"/>
    <x v="0"/>
    <n v="3"/>
    <s v="Medical"/>
    <n v="1"/>
    <n v="105"/>
    <n v="2"/>
    <x v="1"/>
    <n v="30"/>
    <n v="2"/>
    <x v="1"/>
    <x v="1"/>
    <n v="3"/>
    <s v="Single"/>
    <n v="2859"/>
    <n v="26278"/>
    <n v="1"/>
    <s v="Y"/>
    <x v="1"/>
    <n v="18"/>
    <n v="3"/>
    <n v="1"/>
    <n v="80"/>
    <n v="0"/>
    <n v="6"/>
    <n v="3"/>
    <n v="3"/>
    <x v="0"/>
    <n v="4"/>
    <n v="0"/>
    <n v="4"/>
  </r>
  <r>
    <n v="55"/>
    <x v="1"/>
    <s v="Travel_Rarely"/>
    <n v="111"/>
    <x v="0"/>
    <x v="0"/>
    <n v="2"/>
    <s v="Life Sciences"/>
    <n v="1"/>
    <n v="106"/>
    <n v="1"/>
    <x v="1"/>
    <n v="70"/>
    <n v="3"/>
    <x v="2"/>
    <x v="0"/>
    <n v="4"/>
    <s v="Married"/>
    <n v="10239"/>
    <n v="18092"/>
    <n v="3"/>
    <s v="Y"/>
    <x v="1"/>
    <n v="14"/>
    <n v="3"/>
    <n v="4"/>
    <n v="80"/>
    <n v="1"/>
    <n v="24"/>
    <n v="4"/>
    <n v="3"/>
    <x v="6"/>
    <n v="0"/>
    <n v="1"/>
    <n v="0"/>
  </r>
  <r>
    <n v="38"/>
    <x v="1"/>
    <s v="Non-Travel"/>
    <n v="573"/>
    <x v="1"/>
    <x v="16"/>
    <n v="3"/>
    <s v="Medical"/>
    <n v="1"/>
    <n v="107"/>
    <n v="2"/>
    <x v="0"/>
    <n v="79"/>
    <n v="1"/>
    <x v="0"/>
    <x v="1"/>
    <n v="4"/>
    <s v="Divorced"/>
    <n v="5329"/>
    <n v="15717"/>
    <n v="7"/>
    <s v="Y"/>
    <x v="0"/>
    <n v="12"/>
    <n v="3"/>
    <n v="4"/>
    <n v="80"/>
    <n v="3"/>
    <n v="17"/>
    <n v="3"/>
    <n v="3"/>
    <x v="20"/>
    <n v="11"/>
    <n v="1"/>
    <n v="9"/>
  </r>
  <r>
    <n v="34"/>
    <x v="1"/>
    <s v="Travel_Rarely"/>
    <n v="1153"/>
    <x v="1"/>
    <x v="0"/>
    <n v="2"/>
    <s v="Medical"/>
    <n v="1"/>
    <n v="110"/>
    <n v="1"/>
    <x v="1"/>
    <n v="94"/>
    <n v="3"/>
    <x v="0"/>
    <x v="3"/>
    <n v="2"/>
    <s v="Married"/>
    <n v="4325"/>
    <n v="17736"/>
    <n v="1"/>
    <s v="Y"/>
    <x v="1"/>
    <n v="15"/>
    <n v="3"/>
    <n v="3"/>
    <n v="80"/>
    <n v="0"/>
    <n v="5"/>
    <n v="2"/>
    <n v="3"/>
    <x v="8"/>
    <n v="2"/>
    <n v="1"/>
    <n v="3"/>
  </r>
  <r>
    <n v="56"/>
    <x v="1"/>
    <s v="Travel_Rarely"/>
    <n v="1400"/>
    <x v="1"/>
    <x v="15"/>
    <n v="3"/>
    <s v="Life Sciences"/>
    <n v="1"/>
    <n v="112"/>
    <n v="4"/>
    <x v="1"/>
    <n v="49"/>
    <n v="1"/>
    <x v="2"/>
    <x v="3"/>
    <n v="4"/>
    <s v="Single"/>
    <n v="7260"/>
    <n v="21698"/>
    <n v="4"/>
    <s v="Y"/>
    <x v="1"/>
    <n v="11"/>
    <n v="3"/>
    <n v="1"/>
    <n v="80"/>
    <n v="0"/>
    <n v="37"/>
    <n v="3"/>
    <n v="2"/>
    <x v="0"/>
    <n v="4"/>
    <n v="0"/>
    <n v="2"/>
  </r>
  <r>
    <n v="23"/>
    <x v="1"/>
    <s v="Travel_Rarely"/>
    <n v="541"/>
    <x v="0"/>
    <x v="2"/>
    <n v="1"/>
    <s v="Technical Degree"/>
    <n v="1"/>
    <n v="113"/>
    <n v="3"/>
    <x v="1"/>
    <n v="62"/>
    <n v="3"/>
    <x v="1"/>
    <x v="6"/>
    <n v="1"/>
    <s v="Divorced"/>
    <n v="2322"/>
    <n v="9518"/>
    <n v="3"/>
    <s v="Y"/>
    <x v="1"/>
    <n v="13"/>
    <n v="3"/>
    <n v="3"/>
    <n v="80"/>
    <n v="1"/>
    <n v="3"/>
    <n v="3"/>
    <n v="3"/>
    <x v="2"/>
    <n v="0"/>
    <n v="0"/>
    <n v="0"/>
  </r>
  <r>
    <n v="51"/>
    <x v="1"/>
    <s v="Travel_Rarely"/>
    <n v="432"/>
    <x v="1"/>
    <x v="14"/>
    <n v="4"/>
    <s v="Life Sciences"/>
    <n v="1"/>
    <n v="116"/>
    <n v="4"/>
    <x v="1"/>
    <n v="96"/>
    <n v="3"/>
    <x v="1"/>
    <x v="2"/>
    <n v="4"/>
    <s v="Married"/>
    <n v="2075"/>
    <n v="18725"/>
    <n v="3"/>
    <s v="Y"/>
    <x v="1"/>
    <n v="23"/>
    <n v="4"/>
    <n v="2"/>
    <n v="80"/>
    <n v="2"/>
    <n v="10"/>
    <n v="4"/>
    <n v="3"/>
    <x v="9"/>
    <n v="2"/>
    <n v="0"/>
    <n v="3"/>
  </r>
  <r>
    <n v="30"/>
    <x v="1"/>
    <s v="Travel_Rarely"/>
    <n v="288"/>
    <x v="1"/>
    <x v="2"/>
    <n v="3"/>
    <s v="Life Sciences"/>
    <n v="1"/>
    <n v="117"/>
    <n v="3"/>
    <x v="1"/>
    <n v="99"/>
    <n v="2"/>
    <x v="0"/>
    <x v="4"/>
    <n v="4"/>
    <s v="Married"/>
    <n v="4152"/>
    <n v="15830"/>
    <n v="1"/>
    <s v="Y"/>
    <x v="1"/>
    <n v="19"/>
    <n v="3"/>
    <n v="1"/>
    <n v="80"/>
    <n v="3"/>
    <n v="11"/>
    <n v="3"/>
    <n v="3"/>
    <x v="19"/>
    <n v="10"/>
    <n v="10"/>
    <n v="8"/>
  </r>
  <r>
    <n v="46"/>
    <x v="0"/>
    <s v="Travel_Rarely"/>
    <n v="669"/>
    <x v="0"/>
    <x v="14"/>
    <n v="2"/>
    <s v="Medical"/>
    <n v="1"/>
    <n v="118"/>
    <n v="3"/>
    <x v="1"/>
    <n v="64"/>
    <n v="2"/>
    <x v="2"/>
    <x v="0"/>
    <n v="4"/>
    <s v="Single"/>
    <n v="9619"/>
    <n v="13596"/>
    <n v="1"/>
    <s v="Y"/>
    <x v="1"/>
    <n v="16"/>
    <n v="3"/>
    <n v="4"/>
    <n v="80"/>
    <n v="0"/>
    <n v="9"/>
    <n v="3"/>
    <n v="3"/>
    <x v="7"/>
    <n v="8"/>
    <n v="4"/>
    <n v="7"/>
  </r>
  <r>
    <n v="40"/>
    <x v="1"/>
    <s v="Travel_Frequently"/>
    <n v="530"/>
    <x v="1"/>
    <x v="0"/>
    <n v="4"/>
    <s v="Life Sciences"/>
    <n v="1"/>
    <n v="119"/>
    <n v="3"/>
    <x v="1"/>
    <n v="78"/>
    <n v="2"/>
    <x v="3"/>
    <x v="4"/>
    <n v="2"/>
    <s v="Married"/>
    <n v="13503"/>
    <n v="14115"/>
    <n v="1"/>
    <s v="Y"/>
    <x v="1"/>
    <n v="22"/>
    <n v="4"/>
    <n v="4"/>
    <n v="80"/>
    <n v="1"/>
    <n v="22"/>
    <n v="3"/>
    <n v="2"/>
    <x v="14"/>
    <n v="3"/>
    <n v="11"/>
    <n v="11"/>
  </r>
  <r>
    <n v="51"/>
    <x v="1"/>
    <s v="Travel_Rarely"/>
    <n v="632"/>
    <x v="0"/>
    <x v="11"/>
    <n v="4"/>
    <s v="Marketing"/>
    <n v="1"/>
    <n v="120"/>
    <n v="3"/>
    <x v="1"/>
    <n v="71"/>
    <n v="3"/>
    <x v="0"/>
    <x v="0"/>
    <n v="4"/>
    <s v="Single"/>
    <n v="5441"/>
    <n v="8423"/>
    <n v="0"/>
    <s v="Y"/>
    <x v="0"/>
    <n v="22"/>
    <n v="4"/>
    <n v="4"/>
    <n v="80"/>
    <n v="0"/>
    <n v="11"/>
    <n v="2"/>
    <n v="1"/>
    <x v="1"/>
    <n v="7"/>
    <n v="1"/>
    <n v="0"/>
  </r>
  <r>
    <n v="30"/>
    <x v="1"/>
    <s v="Travel_Rarely"/>
    <n v="1334"/>
    <x v="0"/>
    <x v="18"/>
    <n v="2"/>
    <s v="Medical"/>
    <n v="1"/>
    <n v="121"/>
    <n v="3"/>
    <x v="0"/>
    <n v="63"/>
    <n v="2"/>
    <x v="0"/>
    <x v="0"/>
    <n v="2"/>
    <s v="Divorced"/>
    <n v="5209"/>
    <n v="19760"/>
    <n v="1"/>
    <s v="Y"/>
    <x v="0"/>
    <n v="12"/>
    <n v="3"/>
    <n v="2"/>
    <n v="80"/>
    <n v="3"/>
    <n v="11"/>
    <n v="4"/>
    <n v="2"/>
    <x v="19"/>
    <n v="8"/>
    <n v="2"/>
    <n v="7"/>
  </r>
  <r>
    <n v="46"/>
    <x v="1"/>
    <s v="Travel_Frequently"/>
    <n v="638"/>
    <x v="1"/>
    <x v="0"/>
    <n v="3"/>
    <s v="Medical"/>
    <n v="1"/>
    <n v="124"/>
    <n v="3"/>
    <x v="1"/>
    <n v="40"/>
    <n v="2"/>
    <x v="2"/>
    <x v="4"/>
    <n v="1"/>
    <s v="Married"/>
    <n v="10673"/>
    <n v="3142"/>
    <n v="2"/>
    <s v="Y"/>
    <x v="0"/>
    <n v="13"/>
    <n v="3"/>
    <n v="3"/>
    <n v="80"/>
    <n v="1"/>
    <n v="21"/>
    <n v="5"/>
    <n v="2"/>
    <x v="1"/>
    <n v="9"/>
    <n v="9"/>
    <n v="5"/>
  </r>
  <r>
    <n v="32"/>
    <x v="1"/>
    <s v="Travel_Rarely"/>
    <n v="1093"/>
    <x v="0"/>
    <x v="16"/>
    <n v="4"/>
    <s v="Medical"/>
    <n v="1"/>
    <n v="125"/>
    <n v="2"/>
    <x v="1"/>
    <n v="87"/>
    <n v="3"/>
    <x v="0"/>
    <x v="0"/>
    <n v="3"/>
    <s v="Single"/>
    <n v="5010"/>
    <n v="24301"/>
    <n v="1"/>
    <s v="Y"/>
    <x v="1"/>
    <n v="16"/>
    <n v="3"/>
    <n v="1"/>
    <n v="80"/>
    <n v="0"/>
    <n v="12"/>
    <n v="0"/>
    <n v="3"/>
    <x v="19"/>
    <n v="8"/>
    <n v="5"/>
    <n v="7"/>
  </r>
  <r>
    <n v="54"/>
    <x v="1"/>
    <s v="Travel_Rarely"/>
    <n v="1217"/>
    <x v="1"/>
    <x v="2"/>
    <n v="4"/>
    <s v="Technical Degree"/>
    <n v="1"/>
    <n v="126"/>
    <n v="1"/>
    <x v="0"/>
    <n v="60"/>
    <n v="3"/>
    <x v="2"/>
    <x v="7"/>
    <n v="3"/>
    <s v="Married"/>
    <n v="13549"/>
    <n v="24001"/>
    <n v="9"/>
    <s v="Y"/>
    <x v="1"/>
    <n v="12"/>
    <n v="3"/>
    <n v="1"/>
    <n v="80"/>
    <n v="1"/>
    <n v="16"/>
    <n v="5"/>
    <n v="1"/>
    <x v="9"/>
    <n v="3"/>
    <n v="0"/>
    <n v="3"/>
  </r>
  <r>
    <n v="24"/>
    <x v="1"/>
    <s v="Travel_Rarely"/>
    <n v="1353"/>
    <x v="0"/>
    <x v="3"/>
    <n v="2"/>
    <s v="Other"/>
    <n v="1"/>
    <n v="128"/>
    <n v="1"/>
    <x v="0"/>
    <n v="33"/>
    <n v="3"/>
    <x v="0"/>
    <x v="0"/>
    <n v="3"/>
    <s v="Married"/>
    <n v="4999"/>
    <n v="17519"/>
    <n v="0"/>
    <s v="Y"/>
    <x v="1"/>
    <n v="21"/>
    <n v="4"/>
    <n v="1"/>
    <n v="80"/>
    <n v="1"/>
    <n v="4"/>
    <n v="2"/>
    <n v="2"/>
    <x v="11"/>
    <n v="2"/>
    <n v="0"/>
    <n v="2"/>
  </r>
  <r>
    <n v="28"/>
    <x v="1"/>
    <s v="Non-Travel"/>
    <n v="120"/>
    <x v="0"/>
    <x v="18"/>
    <n v="3"/>
    <s v="Medical"/>
    <n v="1"/>
    <n v="129"/>
    <n v="2"/>
    <x v="1"/>
    <n v="43"/>
    <n v="3"/>
    <x v="0"/>
    <x v="0"/>
    <n v="3"/>
    <s v="Married"/>
    <n v="4221"/>
    <n v="8863"/>
    <n v="1"/>
    <s v="Y"/>
    <x v="1"/>
    <n v="15"/>
    <n v="3"/>
    <n v="2"/>
    <n v="80"/>
    <n v="0"/>
    <n v="5"/>
    <n v="3"/>
    <n v="4"/>
    <x v="8"/>
    <n v="4"/>
    <n v="0"/>
    <n v="4"/>
  </r>
  <r>
    <n v="58"/>
    <x v="1"/>
    <s v="Travel_Rarely"/>
    <n v="682"/>
    <x v="0"/>
    <x v="17"/>
    <n v="4"/>
    <s v="Medical"/>
    <n v="1"/>
    <n v="131"/>
    <n v="4"/>
    <x v="1"/>
    <n v="37"/>
    <n v="3"/>
    <x v="3"/>
    <x v="0"/>
    <n v="3"/>
    <s v="Single"/>
    <n v="13872"/>
    <n v="24409"/>
    <n v="0"/>
    <s v="Y"/>
    <x v="1"/>
    <n v="13"/>
    <n v="3"/>
    <n v="3"/>
    <n v="80"/>
    <n v="0"/>
    <n v="38"/>
    <n v="1"/>
    <n v="2"/>
    <x v="21"/>
    <n v="10"/>
    <n v="1"/>
    <n v="8"/>
  </r>
  <r>
    <n v="44"/>
    <x v="1"/>
    <s v="Non-Travel"/>
    <n v="489"/>
    <x v="1"/>
    <x v="5"/>
    <n v="3"/>
    <s v="Medical"/>
    <n v="1"/>
    <n v="132"/>
    <n v="2"/>
    <x v="1"/>
    <n v="67"/>
    <n v="3"/>
    <x v="0"/>
    <x v="2"/>
    <n v="2"/>
    <s v="Married"/>
    <n v="2042"/>
    <n v="25043"/>
    <n v="4"/>
    <s v="Y"/>
    <x v="1"/>
    <n v="12"/>
    <n v="3"/>
    <n v="3"/>
    <n v="80"/>
    <n v="1"/>
    <n v="17"/>
    <n v="3"/>
    <n v="4"/>
    <x v="11"/>
    <n v="2"/>
    <n v="1"/>
    <n v="2"/>
  </r>
  <r>
    <n v="37"/>
    <x v="0"/>
    <s v="Travel_Rarely"/>
    <n v="807"/>
    <x v="2"/>
    <x v="16"/>
    <n v="4"/>
    <s v="Human Resources"/>
    <n v="1"/>
    <n v="133"/>
    <n v="3"/>
    <x v="1"/>
    <n v="63"/>
    <n v="3"/>
    <x v="1"/>
    <x v="8"/>
    <n v="1"/>
    <s v="Divorced"/>
    <n v="2073"/>
    <n v="23648"/>
    <n v="4"/>
    <s v="Y"/>
    <x v="0"/>
    <n v="22"/>
    <n v="4"/>
    <n v="4"/>
    <n v="80"/>
    <n v="0"/>
    <n v="7"/>
    <n v="3"/>
    <n v="3"/>
    <x v="11"/>
    <n v="2"/>
    <n v="0"/>
    <n v="2"/>
  </r>
  <r>
    <n v="32"/>
    <x v="1"/>
    <s v="Travel_Rarely"/>
    <n v="827"/>
    <x v="1"/>
    <x v="0"/>
    <n v="1"/>
    <s v="Life Sciences"/>
    <n v="1"/>
    <n v="134"/>
    <n v="4"/>
    <x v="1"/>
    <n v="71"/>
    <n v="3"/>
    <x v="1"/>
    <x v="1"/>
    <n v="1"/>
    <s v="Single"/>
    <n v="2956"/>
    <n v="15178"/>
    <n v="1"/>
    <s v="Y"/>
    <x v="1"/>
    <n v="13"/>
    <n v="3"/>
    <n v="4"/>
    <n v="80"/>
    <n v="0"/>
    <n v="1"/>
    <n v="2"/>
    <n v="3"/>
    <x v="6"/>
    <n v="0"/>
    <n v="0"/>
    <n v="0"/>
  </r>
  <r>
    <n v="20"/>
    <x v="0"/>
    <s v="Travel_Frequently"/>
    <n v="871"/>
    <x v="1"/>
    <x v="16"/>
    <n v="3"/>
    <s v="Life Sciences"/>
    <n v="1"/>
    <n v="137"/>
    <n v="4"/>
    <x v="0"/>
    <n v="66"/>
    <n v="2"/>
    <x v="1"/>
    <x v="2"/>
    <n v="4"/>
    <s v="Single"/>
    <n v="2926"/>
    <n v="19783"/>
    <n v="1"/>
    <s v="Y"/>
    <x v="0"/>
    <n v="18"/>
    <n v="3"/>
    <n v="2"/>
    <n v="80"/>
    <n v="0"/>
    <n v="1"/>
    <n v="5"/>
    <n v="3"/>
    <x v="6"/>
    <n v="0"/>
    <n v="1"/>
    <n v="0"/>
  </r>
  <r>
    <n v="34"/>
    <x v="1"/>
    <s v="Travel_Rarely"/>
    <n v="665"/>
    <x v="1"/>
    <x v="16"/>
    <n v="4"/>
    <s v="Other"/>
    <n v="1"/>
    <n v="138"/>
    <n v="1"/>
    <x v="0"/>
    <n v="41"/>
    <n v="3"/>
    <x v="0"/>
    <x v="1"/>
    <n v="3"/>
    <s v="Single"/>
    <n v="4809"/>
    <n v="12482"/>
    <n v="1"/>
    <s v="Y"/>
    <x v="1"/>
    <n v="14"/>
    <n v="3"/>
    <n v="3"/>
    <n v="80"/>
    <n v="0"/>
    <n v="16"/>
    <n v="3"/>
    <n v="3"/>
    <x v="22"/>
    <n v="13"/>
    <n v="2"/>
    <n v="10"/>
  </r>
  <r>
    <n v="37"/>
    <x v="1"/>
    <s v="Non-Travel"/>
    <n v="1040"/>
    <x v="1"/>
    <x v="2"/>
    <n v="2"/>
    <s v="Life Sciences"/>
    <n v="1"/>
    <n v="139"/>
    <n v="3"/>
    <x v="1"/>
    <n v="100"/>
    <n v="2"/>
    <x v="0"/>
    <x v="4"/>
    <n v="4"/>
    <s v="Divorced"/>
    <n v="5163"/>
    <n v="15850"/>
    <n v="5"/>
    <s v="Y"/>
    <x v="1"/>
    <n v="14"/>
    <n v="3"/>
    <n v="4"/>
    <n v="80"/>
    <n v="1"/>
    <n v="17"/>
    <n v="2"/>
    <n v="4"/>
    <x v="6"/>
    <n v="0"/>
    <n v="0"/>
    <n v="0"/>
  </r>
  <r>
    <n v="59"/>
    <x v="1"/>
    <s v="Non-Travel"/>
    <n v="1420"/>
    <x v="2"/>
    <x v="2"/>
    <n v="4"/>
    <s v="Human Resources"/>
    <n v="1"/>
    <n v="140"/>
    <n v="3"/>
    <x v="0"/>
    <n v="32"/>
    <n v="2"/>
    <x v="4"/>
    <x v="5"/>
    <n v="4"/>
    <s v="Married"/>
    <n v="18844"/>
    <n v="21922"/>
    <n v="9"/>
    <s v="Y"/>
    <x v="1"/>
    <n v="21"/>
    <n v="4"/>
    <n v="4"/>
    <n v="80"/>
    <n v="1"/>
    <n v="30"/>
    <n v="3"/>
    <n v="3"/>
    <x v="11"/>
    <n v="2"/>
    <n v="2"/>
    <n v="2"/>
  </r>
  <r>
    <n v="50"/>
    <x v="1"/>
    <s v="Travel_Frequently"/>
    <n v="1115"/>
    <x v="1"/>
    <x v="0"/>
    <n v="3"/>
    <s v="Life Sciences"/>
    <n v="1"/>
    <n v="141"/>
    <n v="1"/>
    <x v="0"/>
    <n v="73"/>
    <n v="3"/>
    <x v="4"/>
    <x v="7"/>
    <n v="2"/>
    <s v="Married"/>
    <n v="18172"/>
    <n v="9755"/>
    <n v="3"/>
    <s v="Y"/>
    <x v="0"/>
    <n v="19"/>
    <n v="3"/>
    <n v="1"/>
    <n v="80"/>
    <n v="0"/>
    <n v="28"/>
    <n v="1"/>
    <n v="2"/>
    <x v="3"/>
    <n v="3"/>
    <n v="0"/>
    <n v="7"/>
  </r>
  <r>
    <n v="25"/>
    <x v="0"/>
    <s v="Travel_Rarely"/>
    <n v="240"/>
    <x v="0"/>
    <x v="12"/>
    <n v="3"/>
    <s v="Marketing"/>
    <n v="1"/>
    <n v="142"/>
    <n v="3"/>
    <x v="1"/>
    <n v="46"/>
    <n v="2"/>
    <x v="0"/>
    <x v="0"/>
    <n v="3"/>
    <s v="Single"/>
    <n v="5744"/>
    <n v="26959"/>
    <n v="1"/>
    <s v="Y"/>
    <x v="0"/>
    <n v="11"/>
    <n v="3"/>
    <n v="4"/>
    <n v="80"/>
    <n v="0"/>
    <n v="6"/>
    <n v="1"/>
    <n v="3"/>
    <x v="0"/>
    <n v="4"/>
    <n v="0"/>
    <n v="3"/>
  </r>
  <r>
    <n v="25"/>
    <x v="1"/>
    <s v="Travel_Rarely"/>
    <n v="1280"/>
    <x v="1"/>
    <x v="15"/>
    <n v="1"/>
    <s v="Medical"/>
    <n v="1"/>
    <n v="143"/>
    <n v="4"/>
    <x v="1"/>
    <n v="64"/>
    <n v="2"/>
    <x v="1"/>
    <x v="1"/>
    <n v="4"/>
    <s v="Married"/>
    <n v="2889"/>
    <n v="26897"/>
    <n v="1"/>
    <s v="Y"/>
    <x v="1"/>
    <n v="11"/>
    <n v="3"/>
    <n v="3"/>
    <n v="80"/>
    <n v="2"/>
    <n v="2"/>
    <n v="2"/>
    <n v="3"/>
    <x v="4"/>
    <n v="2"/>
    <n v="2"/>
    <n v="1"/>
  </r>
  <r>
    <n v="22"/>
    <x v="1"/>
    <s v="Travel_Rarely"/>
    <n v="534"/>
    <x v="1"/>
    <x v="8"/>
    <n v="3"/>
    <s v="Medical"/>
    <n v="1"/>
    <n v="144"/>
    <n v="2"/>
    <x v="0"/>
    <n v="59"/>
    <n v="3"/>
    <x v="1"/>
    <x v="2"/>
    <n v="4"/>
    <s v="Single"/>
    <n v="2871"/>
    <n v="23785"/>
    <n v="1"/>
    <s v="Y"/>
    <x v="1"/>
    <n v="15"/>
    <n v="3"/>
    <n v="3"/>
    <n v="80"/>
    <n v="0"/>
    <n v="1"/>
    <n v="5"/>
    <n v="3"/>
    <x v="2"/>
    <n v="0"/>
    <n v="0"/>
    <n v="0"/>
  </r>
  <r>
    <n v="51"/>
    <x v="1"/>
    <s v="Travel_Frequently"/>
    <n v="1456"/>
    <x v="1"/>
    <x v="0"/>
    <n v="4"/>
    <s v="Medical"/>
    <n v="1"/>
    <n v="145"/>
    <n v="1"/>
    <x v="0"/>
    <n v="30"/>
    <n v="2"/>
    <x v="2"/>
    <x v="4"/>
    <n v="1"/>
    <s v="Single"/>
    <n v="7484"/>
    <n v="25796"/>
    <n v="3"/>
    <s v="Y"/>
    <x v="1"/>
    <n v="20"/>
    <n v="4"/>
    <n v="3"/>
    <n v="80"/>
    <n v="0"/>
    <n v="23"/>
    <n v="1"/>
    <n v="2"/>
    <x v="20"/>
    <n v="12"/>
    <n v="12"/>
    <n v="8"/>
  </r>
  <r>
    <n v="34"/>
    <x v="0"/>
    <s v="Travel_Frequently"/>
    <n v="658"/>
    <x v="1"/>
    <x v="15"/>
    <n v="3"/>
    <s v="Life Sciences"/>
    <n v="1"/>
    <n v="147"/>
    <n v="1"/>
    <x v="1"/>
    <n v="66"/>
    <n v="1"/>
    <x v="0"/>
    <x v="2"/>
    <n v="3"/>
    <s v="Single"/>
    <n v="6074"/>
    <n v="22887"/>
    <n v="1"/>
    <s v="Y"/>
    <x v="0"/>
    <n v="24"/>
    <n v="4"/>
    <n v="4"/>
    <n v="80"/>
    <n v="0"/>
    <n v="9"/>
    <n v="3"/>
    <n v="3"/>
    <x v="7"/>
    <n v="7"/>
    <n v="0"/>
    <n v="6"/>
  </r>
  <r>
    <n v="54"/>
    <x v="1"/>
    <s v="Non-Travel"/>
    <n v="142"/>
    <x v="2"/>
    <x v="9"/>
    <n v="3"/>
    <s v="Human Resources"/>
    <n v="1"/>
    <n v="148"/>
    <n v="4"/>
    <x v="0"/>
    <n v="30"/>
    <n v="4"/>
    <x v="3"/>
    <x v="5"/>
    <n v="4"/>
    <s v="Single"/>
    <n v="17328"/>
    <n v="13871"/>
    <n v="2"/>
    <s v="Y"/>
    <x v="0"/>
    <n v="12"/>
    <n v="3"/>
    <n v="3"/>
    <n v="80"/>
    <n v="0"/>
    <n v="23"/>
    <n v="3"/>
    <n v="3"/>
    <x v="8"/>
    <n v="3"/>
    <n v="4"/>
    <n v="4"/>
  </r>
  <r>
    <n v="24"/>
    <x v="1"/>
    <s v="Travel_Rarely"/>
    <n v="1127"/>
    <x v="1"/>
    <x v="21"/>
    <n v="1"/>
    <s v="Life Sciences"/>
    <n v="1"/>
    <n v="150"/>
    <n v="2"/>
    <x v="1"/>
    <n v="52"/>
    <n v="3"/>
    <x v="1"/>
    <x v="2"/>
    <n v="3"/>
    <s v="Married"/>
    <n v="2774"/>
    <n v="13257"/>
    <n v="0"/>
    <s v="Y"/>
    <x v="1"/>
    <n v="12"/>
    <n v="3"/>
    <n v="3"/>
    <n v="80"/>
    <n v="1"/>
    <n v="6"/>
    <n v="2"/>
    <n v="3"/>
    <x v="8"/>
    <n v="3"/>
    <n v="1"/>
    <n v="2"/>
  </r>
  <r>
    <n v="34"/>
    <x v="1"/>
    <s v="Travel_Rarely"/>
    <n v="1031"/>
    <x v="1"/>
    <x v="16"/>
    <n v="4"/>
    <s v="Life Sciences"/>
    <n v="1"/>
    <n v="151"/>
    <n v="3"/>
    <x v="0"/>
    <n v="45"/>
    <n v="2"/>
    <x v="0"/>
    <x v="1"/>
    <n v="2"/>
    <s v="Divorced"/>
    <n v="4505"/>
    <n v="15000"/>
    <n v="6"/>
    <s v="Y"/>
    <x v="1"/>
    <n v="15"/>
    <n v="3"/>
    <n v="3"/>
    <n v="80"/>
    <n v="1"/>
    <n v="12"/>
    <n v="3"/>
    <n v="3"/>
    <x v="6"/>
    <n v="0"/>
    <n v="0"/>
    <n v="0"/>
  </r>
  <r>
    <n v="37"/>
    <x v="1"/>
    <s v="Travel_Rarely"/>
    <n v="1189"/>
    <x v="0"/>
    <x v="3"/>
    <n v="3"/>
    <s v="Life Sciences"/>
    <n v="1"/>
    <n v="152"/>
    <n v="3"/>
    <x v="1"/>
    <n v="87"/>
    <n v="3"/>
    <x v="2"/>
    <x v="0"/>
    <n v="4"/>
    <s v="Single"/>
    <n v="7428"/>
    <n v="14506"/>
    <n v="2"/>
    <s v="Y"/>
    <x v="1"/>
    <n v="12"/>
    <n v="3"/>
    <n v="1"/>
    <n v="80"/>
    <n v="0"/>
    <n v="12"/>
    <n v="3"/>
    <n v="3"/>
    <x v="8"/>
    <n v="3"/>
    <n v="1"/>
    <n v="3"/>
  </r>
  <r>
    <n v="34"/>
    <x v="1"/>
    <s v="Travel_Rarely"/>
    <n v="1354"/>
    <x v="1"/>
    <x v="12"/>
    <n v="3"/>
    <s v="Medical"/>
    <n v="1"/>
    <n v="153"/>
    <n v="3"/>
    <x v="0"/>
    <n v="45"/>
    <n v="2"/>
    <x v="2"/>
    <x v="5"/>
    <n v="1"/>
    <s v="Single"/>
    <n v="11631"/>
    <n v="5615"/>
    <n v="2"/>
    <s v="Y"/>
    <x v="1"/>
    <n v="12"/>
    <n v="3"/>
    <n v="4"/>
    <n v="80"/>
    <n v="0"/>
    <n v="14"/>
    <n v="6"/>
    <n v="3"/>
    <x v="19"/>
    <n v="10"/>
    <n v="5"/>
    <n v="8"/>
  </r>
  <r>
    <n v="36"/>
    <x v="1"/>
    <s v="Travel_Frequently"/>
    <n v="1467"/>
    <x v="0"/>
    <x v="13"/>
    <n v="2"/>
    <s v="Technical Degree"/>
    <n v="1"/>
    <n v="154"/>
    <n v="2"/>
    <x v="0"/>
    <n v="92"/>
    <n v="3"/>
    <x v="2"/>
    <x v="0"/>
    <n v="4"/>
    <s v="Married"/>
    <n v="9738"/>
    <n v="22952"/>
    <n v="0"/>
    <s v="Y"/>
    <x v="1"/>
    <n v="14"/>
    <n v="3"/>
    <n v="3"/>
    <n v="80"/>
    <n v="1"/>
    <n v="10"/>
    <n v="6"/>
    <n v="3"/>
    <x v="7"/>
    <n v="7"/>
    <n v="2"/>
    <n v="8"/>
  </r>
  <r>
    <n v="36"/>
    <x v="1"/>
    <s v="Travel_Rarely"/>
    <n v="922"/>
    <x v="1"/>
    <x v="3"/>
    <n v="2"/>
    <s v="Life Sciences"/>
    <n v="1"/>
    <n v="155"/>
    <n v="1"/>
    <x v="0"/>
    <n v="39"/>
    <n v="3"/>
    <x v="1"/>
    <x v="2"/>
    <n v="4"/>
    <s v="Divorced"/>
    <n v="2835"/>
    <n v="2561"/>
    <n v="5"/>
    <s v="Y"/>
    <x v="1"/>
    <n v="22"/>
    <n v="4"/>
    <n v="1"/>
    <n v="80"/>
    <n v="1"/>
    <n v="7"/>
    <n v="2"/>
    <n v="3"/>
    <x v="6"/>
    <n v="0"/>
    <n v="0"/>
    <n v="0"/>
  </r>
  <r>
    <n v="43"/>
    <x v="1"/>
    <s v="Travel_Frequently"/>
    <n v="394"/>
    <x v="0"/>
    <x v="9"/>
    <n v="2"/>
    <s v="Life Sciences"/>
    <n v="1"/>
    <n v="158"/>
    <n v="3"/>
    <x v="1"/>
    <n v="92"/>
    <n v="3"/>
    <x v="3"/>
    <x v="5"/>
    <n v="4"/>
    <s v="Married"/>
    <n v="16959"/>
    <n v="19494"/>
    <n v="1"/>
    <s v="Y"/>
    <x v="0"/>
    <n v="12"/>
    <n v="3"/>
    <n v="4"/>
    <n v="80"/>
    <n v="2"/>
    <n v="25"/>
    <n v="3"/>
    <n v="4"/>
    <x v="10"/>
    <n v="12"/>
    <n v="4"/>
    <n v="12"/>
  </r>
  <r>
    <n v="30"/>
    <x v="1"/>
    <s v="Travel_Frequently"/>
    <n v="1312"/>
    <x v="1"/>
    <x v="5"/>
    <n v="3"/>
    <s v="Life Sciences"/>
    <n v="1"/>
    <n v="159"/>
    <n v="1"/>
    <x v="1"/>
    <n v="96"/>
    <n v="1"/>
    <x v="1"/>
    <x v="1"/>
    <n v="3"/>
    <s v="Divorced"/>
    <n v="2613"/>
    <n v="22310"/>
    <n v="1"/>
    <s v="Y"/>
    <x v="1"/>
    <n v="25"/>
    <n v="4"/>
    <n v="3"/>
    <n v="80"/>
    <n v="3"/>
    <n v="10"/>
    <n v="2"/>
    <n v="2"/>
    <x v="1"/>
    <n v="7"/>
    <n v="0"/>
    <n v="9"/>
  </r>
  <r>
    <n v="33"/>
    <x v="1"/>
    <s v="Non-Travel"/>
    <n v="750"/>
    <x v="0"/>
    <x v="23"/>
    <n v="2"/>
    <s v="Marketing"/>
    <n v="1"/>
    <n v="160"/>
    <n v="3"/>
    <x v="1"/>
    <n v="95"/>
    <n v="3"/>
    <x v="0"/>
    <x v="0"/>
    <n v="2"/>
    <s v="Married"/>
    <n v="6146"/>
    <n v="15480"/>
    <n v="0"/>
    <s v="Y"/>
    <x v="1"/>
    <n v="13"/>
    <n v="3"/>
    <n v="1"/>
    <n v="80"/>
    <n v="1"/>
    <n v="8"/>
    <n v="2"/>
    <n v="4"/>
    <x v="5"/>
    <n v="7"/>
    <n v="0"/>
    <n v="7"/>
  </r>
  <r>
    <n v="56"/>
    <x v="0"/>
    <s v="Travel_Rarely"/>
    <n v="441"/>
    <x v="1"/>
    <x v="24"/>
    <n v="4"/>
    <s v="Life Sciences"/>
    <n v="1"/>
    <n v="161"/>
    <n v="2"/>
    <x v="0"/>
    <n v="72"/>
    <n v="3"/>
    <x v="1"/>
    <x v="1"/>
    <n v="2"/>
    <s v="Married"/>
    <n v="4963"/>
    <n v="4510"/>
    <n v="9"/>
    <s v="Y"/>
    <x v="0"/>
    <n v="18"/>
    <n v="3"/>
    <n v="1"/>
    <n v="80"/>
    <n v="3"/>
    <n v="7"/>
    <n v="2"/>
    <n v="3"/>
    <x v="8"/>
    <n v="4"/>
    <n v="4"/>
    <n v="3"/>
  </r>
  <r>
    <n v="51"/>
    <x v="1"/>
    <s v="Travel_Rarely"/>
    <n v="684"/>
    <x v="1"/>
    <x v="16"/>
    <n v="3"/>
    <s v="Life Sciences"/>
    <n v="1"/>
    <n v="162"/>
    <n v="1"/>
    <x v="1"/>
    <n v="51"/>
    <n v="3"/>
    <x v="4"/>
    <x v="7"/>
    <n v="3"/>
    <s v="Single"/>
    <n v="19537"/>
    <n v="6462"/>
    <n v="7"/>
    <s v="Y"/>
    <x v="1"/>
    <n v="13"/>
    <n v="3"/>
    <n v="3"/>
    <n v="80"/>
    <n v="0"/>
    <n v="23"/>
    <n v="5"/>
    <n v="3"/>
    <x v="23"/>
    <n v="18"/>
    <n v="15"/>
    <n v="15"/>
  </r>
  <r>
    <n v="31"/>
    <x v="0"/>
    <s v="Travel_Rarely"/>
    <n v="249"/>
    <x v="0"/>
    <x v="16"/>
    <n v="4"/>
    <s v="Life Sciences"/>
    <n v="1"/>
    <n v="163"/>
    <n v="2"/>
    <x v="1"/>
    <n v="76"/>
    <n v="1"/>
    <x v="0"/>
    <x v="0"/>
    <n v="3"/>
    <s v="Married"/>
    <n v="6172"/>
    <n v="20739"/>
    <n v="4"/>
    <s v="Y"/>
    <x v="0"/>
    <n v="18"/>
    <n v="3"/>
    <n v="2"/>
    <n v="80"/>
    <n v="0"/>
    <n v="12"/>
    <n v="3"/>
    <n v="2"/>
    <x v="5"/>
    <n v="7"/>
    <n v="7"/>
    <n v="7"/>
  </r>
  <r>
    <n v="26"/>
    <x v="1"/>
    <s v="Travel_Rarely"/>
    <n v="841"/>
    <x v="1"/>
    <x v="16"/>
    <n v="3"/>
    <s v="Other"/>
    <n v="1"/>
    <n v="164"/>
    <n v="3"/>
    <x v="0"/>
    <n v="46"/>
    <n v="2"/>
    <x v="1"/>
    <x v="1"/>
    <n v="2"/>
    <s v="Married"/>
    <n v="2368"/>
    <n v="23300"/>
    <n v="1"/>
    <s v="Y"/>
    <x v="1"/>
    <n v="19"/>
    <n v="3"/>
    <n v="3"/>
    <n v="80"/>
    <n v="0"/>
    <n v="5"/>
    <n v="3"/>
    <n v="2"/>
    <x v="8"/>
    <n v="4"/>
    <n v="4"/>
    <n v="3"/>
  </r>
  <r>
    <n v="58"/>
    <x v="0"/>
    <s v="Travel_Rarely"/>
    <n v="147"/>
    <x v="1"/>
    <x v="5"/>
    <n v="4"/>
    <s v="Medical"/>
    <n v="1"/>
    <n v="165"/>
    <n v="4"/>
    <x v="0"/>
    <n v="94"/>
    <n v="3"/>
    <x v="2"/>
    <x v="4"/>
    <n v="4"/>
    <s v="Married"/>
    <n v="10312"/>
    <n v="3465"/>
    <n v="1"/>
    <s v="Y"/>
    <x v="1"/>
    <n v="12"/>
    <n v="3"/>
    <n v="4"/>
    <n v="80"/>
    <n v="1"/>
    <n v="40"/>
    <n v="3"/>
    <n v="2"/>
    <x v="24"/>
    <n v="10"/>
    <n v="15"/>
    <n v="6"/>
  </r>
  <r>
    <n v="19"/>
    <x v="0"/>
    <s v="Travel_Rarely"/>
    <n v="528"/>
    <x v="0"/>
    <x v="23"/>
    <n v="1"/>
    <s v="Marketing"/>
    <n v="1"/>
    <n v="167"/>
    <n v="4"/>
    <x v="1"/>
    <n v="50"/>
    <n v="3"/>
    <x v="1"/>
    <x v="6"/>
    <n v="3"/>
    <s v="Single"/>
    <n v="1675"/>
    <n v="26820"/>
    <n v="1"/>
    <s v="Y"/>
    <x v="0"/>
    <n v="19"/>
    <n v="3"/>
    <n v="4"/>
    <n v="80"/>
    <n v="0"/>
    <n v="0"/>
    <n v="2"/>
    <n v="2"/>
    <x v="2"/>
    <n v="0"/>
    <n v="0"/>
    <n v="0"/>
  </r>
  <r>
    <n v="22"/>
    <x v="1"/>
    <s v="Travel_Rarely"/>
    <n v="594"/>
    <x v="1"/>
    <x v="2"/>
    <n v="1"/>
    <s v="Technical Degree"/>
    <n v="1"/>
    <n v="169"/>
    <n v="3"/>
    <x v="1"/>
    <n v="100"/>
    <n v="3"/>
    <x v="1"/>
    <x v="2"/>
    <n v="4"/>
    <s v="Married"/>
    <n v="2523"/>
    <n v="19299"/>
    <n v="0"/>
    <s v="Y"/>
    <x v="1"/>
    <n v="14"/>
    <n v="3"/>
    <n v="3"/>
    <n v="80"/>
    <n v="1"/>
    <n v="3"/>
    <n v="2"/>
    <n v="3"/>
    <x v="4"/>
    <n v="1"/>
    <n v="2"/>
    <n v="1"/>
  </r>
  <r>
    <n v="49"/>
    <x v="1"/>
    <s v="Travel_Rarely"/>
    <n v="470"/>
    <x v="1"/>
    <x v="25"/>
    <n v="4"/>
    <s v="Medical"/>
    <n v="1"/>
    <n v="170"/>
    <n v="3"/>
    <x v="0"/>
    <n v="96"/>
    <n v="3"/>
    <x v="0"/>
    <x v="3"/>
    <n v="1"/>
    <s v="Married"/>
    <n v="6567"/>
    <n v="5549"/>
    <n v="1"/>
    <s v="Y"/>
    <x v="1"/>
    <n v="14"/>
    <n v="3"/>
    <n v="3"/>
    <n v="80"/>
    <n v="0"/>
    <n v="16"/>
    <n v="2"/>
    <n v="2"/>
    <x v="15"/>
    <n v="11"/>
    <n v="5"/>
    <n v="11"/>
  </r>
  <r>
    <n v="43"/>
    <x v="1"/>
    <s v="Travel_Frequently"/>
    <n v="957"/>
    <x v="1"/>
    <x v="26"/>
    <n v="3"/>
    <s v="Medical"/>
    <n v="1"/>
    <n v="171"/>
    <n v="2"/>
    <x v="0"/>
    <n v="72"/>
    <n v="4"/>
    <x v="1"/>
    <x v="1"/>
    <n v="3"/>
    <s v="Single"/>
    <n v="4739"/>
    <n v="16090"/>
    <n v="4"/>
    <s v="Y"/>
    <x v="1"/>
    <n v="12"/>
    <n v="3"/>
    <n v="4"/>
    <n v="80"/>
    <n v="0"/>
    <n v="18"/>
    <n v="2"/>
    <n v="3"/>
    <x v="11"/>
    <n v="2"/>
    <n v="1"/>
    <n v="2"/>
  </r>
  <r>
    <n v="50"/>
    <x v="1"/>
    <s v="Travel_Frequently"/>
    <n v="809"/>
    <x v="0"/>
    <x v="20"/>
    <n v="3"/>
    <s v="Marketing"/>
    <n v="1"/>
    <n v="174"/>
    <n v="3"/>
    <x v="0"/>
    <n v="77"/>
    <n v="3"/>
    <x v="2"/>
    <x v="0"/>
    <n v="4"/>
    <s v="Single"/>
    <n v="9208"/>
    <n v="6645"/>
    <n v="4"/>
    <s v="Y"/>
    <x v="1"/>
    <n v="11"/>
    <n v="3"/>
    <n v="4"/>
    <n v="80"/>
    <n v="0"/>
    <n v="16"/>
    <n v="3"/>
    <n v="3"/>
    <x v="4"/>
    <n v="2"/>
    <n v="2"/>
    <n v="1"/>
  </r>
  <r>
    <n v="31"/>
    <x v="0"/>
    <s v="Travel_Rarely"/>
    <n v="542"/>
    <x v="0"/>
    <x v="25"/>
    <n v="3"/>
    <s v="Life Sciences"/>
    <n v="1"/>
    <n v="175"/>
    <n v="2"/>
    <x v="0"/>
    <n v="71"/>
    <n v="1"/>
    <x v="0"/>
    <x v="0"/>
    <n v="3"/>
    <s v="Married"/>
    <n v="4559"/>
    <n v="24788"/>
    <n v="3"/>
    <s v="Y"/>
    <x v="0"/>
    <n v="11"/>
    <n v="3"/>
    <n v="3"/>
    <n v="80"/>
    <n v="1"/>
    <n v="4"/>
    <n v="2"/>
    <n v="3"/>
    <x v="4"/>
    <n v="2"/>
    <n v="2"/>
    <n v="2"/>
  </r>
  <r>
    <n v="41"/>
    <x v="1"/>
    <s v="Travel_Rarely"/>
    <n v="802"/>
    <x v="0"/>
    <x v="14"/>
    <n v="1"/>
    <s v="Life Sciences"/>
    <n v="1"/>
    <n v="176"/>
    <n v="3"/>
    <x v="1"/>
    <n v="96"/>
    <n v="3"/>
    <x v="2"/>
    <x v="0"/>
    <n v="3"/>
    <s v="Divorced"/>
    <n v="8189"/>
    <n v="21196"/>
    <n v="3"/>
    <s v="Y"/>
    <x v="0"/>
    <n v="13"/>
    <n v="3"/>
    <n v="3"/>
    <n v="80"/>
    <n v="1"/>
    <n v="12"/>
    <n v="2"/>
    <n v="3"/>
    <x v="7"/>
    <n v="7"/>
    <n v="0"/>
    <n v="7"/>
  </r>
  <r>
    <n v="26"/>
    <x v="1"/>
    <s v="Travel_Rarely"/>
    <n v="1355"/>
    <x v="2"/>
    <x v="19"/>
    <n v="1"/>
    <s v="Life Sciences"/>
    <n v="1"/>
    <n v="177"/>
    <n v="3"/>
    <x v="0"/>
    <n v="61"/>
    <n v="3"/>
    <x v="1"/>
    <x v="8"/>
    <n v="3"/>
    <s v="Married"/>
    <n v="2942"/>
    <n v="8916"/>
    <n v="1"/>
    <s v="Y"/>
    <x v="1"/>
    <n v="23"/>
    <n v="4"/>
    <n v="4"/>
    <n v="80"/>
    <n v="1"/>
    <n v="8"/>
    <n v="3"/>
    <n v="3"/>
    <x v="3"/>
    <n v="7"/>
    <n v="5"/>
    <n v="7"/>
  </r>
  <r>
    <n v="36"/>
    <x v="1"/>
    <s v="Travel_Rarely"/>
    <n v="216"/>
    <x v="1"/>
    <x v="16"/>
    <n v="2"/>
    <s v="Medical"/>
    <n v="1"/>
    <n v="178"/>
    <n v="2"/>
    <x v="1"/>
    <n v="84"/>
    <n v="3"/>
    <x v="0"/>
    <x v="3"/>
    <n v="2"/>
    <s v="Divorced"/>
    <n v="4941"/>
    <n v="2819"/>
    <n v="6"/>
    <s v="Y"/>
    <x v="1"/>
    <n v="20"/>
    <n v="4"/>
    <n v="4"/>
    <n v="80"/>
    <n v="2"/>
    <n v="7"/>
    <n v="0"/>
    <n v="3"/>
    <x v="11"/>
    <n v="2"/>
    <n v="0"/>
    <n v="1"/>
  </r>
  <r>
    <n v="51"/>
    <x v="0"/>
    <s v="Travel_Frequently"/>
    <n v="1150"/>
    <x v="1"/>
    <x v="1"/>
    <n v="4"/>
    <s v="Life Sciences"/>
    <n v="1"/>
    <n v="179"/>
    <n v="1"/>
    <x v="1"/>
    <n v="53"/>
    <n v="1"/>
    <x v="2"/>
    <x v="3"/>
    <n v="4"/>
    <s v="Single"/>
    <n v="10650"/>
    <n v="25150"/>
    <n v="2"/>
    <s v="Y"/>
    <x v="1"/>
    <n v="15"/>
    <n v="3"/>
    <n v="4"/>
    <n v="80"/>
    <n v="0"/>
    <n v="18"/>
    <n v="2"/>
    <n v="3"/>
    <x v="9"/>
    <n v="2"/>
    <n v="0"/>
    <n v="3"/>
  </r>
  <r>
    <n v="39"/>
    <x v="1"/>
    <s v="Travel_Rarely"/>
    <n v="1329"/>
    <x v="0"/>
    <x v="18"/>
    <n v="4"/>
    <s v="Life Sciences"/>
    <n v="1"/>
    <n v="182"/>
    <n v="4"/>
    <x v="0"/>
    <n v="47"/>
    <n v="2"/>
    <x v="0"/>
    <x v="0"/>
    <n v="3"/>
    <s v="Married"/>
    <n v="5902"/>
    <n v="14590"/>
    <n v="4"/>
    <s v="Y"/>
    <x v="1"/>
    <n v="14"/>
    <n v="3"/>
    <n v="3"/>
    <n v="80"/>
    <n v="1"/>
    <n v="17"/>
    <n v="1"/>
    <n v="4"/>
    <x v="15"/>
    <n v="11"/>
    <n v="5"/>
    <n v="9"/>
  </r>
  <r>
    <n v="25"/>
    <x v="1"/>
    <s v="Travel_Rarely"/>
    <n v="959"/>
    <x v="0"/>
    <x v="26"/>
    <n v="3"/>
    <s v="Life Sciences"/>
    <n v="1"/>
    <n v="183"/>
    <n v="1"/>
    <x v="1"/>
    <n v="41"/>
    <n v="2"/>
    <x v="0"/>
    <x v="0"/>
    <n v="3"/>
    <s v="Married"/>
    <n v="8639"/>
    <n v="24835"/>
    <n v="2"/>
    <s v="Y"/>
    <x v="1"/>
    <n v="18"/>
    <n v="3"/>
    <n v="4"/>
    <n v="80"/>
    <n v="0"/>
    <n v="6"/>
    <n v="3"/>
    <n v="3"/>
    <x v="4"/>
    <n v="2"/>
    <n v="2"/>
    <n v="2"/>
  </r>
  <r>
    <n v="30"/>
    <x v="1"/>
    <s v="Travel_Rarely"/>
    <n v="1240"/>
    <x v="2"/>
    <x v="14"/>
    <n v="3"/>
    <s v="Human Resources"/>
    <n v="1"/>
    <n v="184"/>
    <n v="3"/>
    <x v="1"/>
    <n v="48"/>
    <n v="3"/>
    <x v="0"/>
    <x v="8"/>
    <n v="4"/>
    <s v="Married"/>
    <n v="6347"/>
    <n v="13982"/>
    <n v="0"/>
    <s v="Y"/>
    <x v="0"/>
    <n v="19"/>
    <n v="3"/>
    <n v="4"/>
    <n v="80"/>
    <n v="0"/>
    <n v="12"/>
    <n v="2"/>
    <n v="1"/>
    <x v="19"/>
    <n v="9"/>
    <n v="4"/>
    <n v="7"/>
  </r>
  <r>
    <n v="32"/>
    <x v="0"/>
    <s v="Travel_Rarely"/>
    <n v="1033"/>
    <x v="1"/>
    <x v="14"/>
    <n v="3"/>
    <s v="Medical"/>
    <n v="1"/>
    <n v="190"/>
    <n v="1"/>
    <x v="0"/>
    <n v="41"/>
    <n v="3"/>
    <x v="1"/>
    <x v="2"/>
    <n v="1"/>
    <s v="Single"/>
    <n v="4200"/>
    <n v="10224"/>
    <n v="7"/>
    <s v="Y"/>
    <x v="1"/>
    <n v="22"/>
    <n v="4"/>
    <n v="1"/>
    <n v="80"/>
    <n v="0"/>
    <n v="10"/>
    <n v="2"/>
    <n v="4"/>
    <x v="8"/>
    <n v="4"/>
    <n v="0"/>
    <n v="4"/>
  </r>
  <r>
    <n v="45"/>
    <x v="1"/>
    <s v="Travel_Rarely"/>
    <n v="1316"/>
    <x v="1"/>
    <x v="22"/>
    <n v="3"/>
    <s v="Medical"/>
    <n v="1"/>
    <n v="192"/>
    <n v="3"/>
    <x v="1"/>
    <n v="83"/>
    <n v="3"/>
    <x v="1"/>
    <x v="1"/>
    <n v="4"/>
    <s v="Single"/>
    <n v="3452"/>
    <n v="9752"/>
    <n v="5"/>
    <s v="Y"/>
    <x v="1"/>
    <n v="13"/>
    <n v="3"/>
    <n v="2"/>
    <n v="80"/>
    <n v="0"/>
    <n v="9"/>
    <n v="2"/>
    <n v="2"/>
    <x v="0"/>
    <n v="5"/>
    <n v="0"/>
    <n v="3"/>
  </r>
  <r>
    <n v="38"/>
    <x v="1"/>
    <s v="Travel_Rarely"/>
    <n v="364"/>
    <x v="1"/>
    <x v="3"/>
    <n v="5"/>
    <s v="Technical Degree"/>
    <n v="1"/>
    <n v="193"/>
    <n v="4"/>
    <x v="0"/>
    <n v="32"/>
    <n v="3"/>
    <x v="0"/>
    <x v="1"/>
    <n v="3"/>
    <s v="Single"/>
    <n v="4317"/>
    <n v="2302"/>
    <n v="3"/>
    <s v="Y"/>
    <x v="0"/>
    <n v="20"/>
    <n v="4"/>
    <n v="2"/>
    <n v="80"/>
    <n v="0"/>
    <n v="19"/>
    <n v="2"/>
    <n v="3"/>
    <x v="11"/>
    <n v="2"/>
    <n v="2"/>
    <n v="2"/>
  </r>
  <r>
    <n v="30"/>
    <x v="1"/>
    <s v="Travel_Rarely"/>
    <n v="438"/>
    <x v="1"/>
    <x v="21"/>
    <n v="3"/>
    <s v="Life Sciences"/>
    <n v="1"/>
    <n v="194"/>
    <n v="1"/>
    <x v="0"/>
    <n v="75"/>
    <n v="3"/>
    <x v="1"/>
    <x v="1"/>
    <n v="3"/>
    <s v="Single"/>
    <n v="2632"/>
    <n v="23910"/>
    <n v="1"/>
    <s v="Y"/>
    <x v="1"/>
    <n v="14"/>
    <n v="3"/>
    <n v="3"/>
    <n v="80"/>
    <n v="0"/>
    <n v="5"/>
    <n v="4"/>
    <n v="2"/>
    <x v="8"/>
    <n v="4"/>
    <n v="0"/>
    <n v="4"/>
  </r>
  <r>
    <n v="32"/>
    <x v="1"/>
    <s v="Travel_Frequently"/>
    <n v="689"/>
    <x v="0"/>
    <x v="14"/>
    <n v="2"/>
    <s v="Medical"/>
    <n v="1"/>
    <n v="195"/>
    <n v="4"/>
    <x v="1"/>
    <n v="35"/>
    <n v="1"/>
    <x v="0"/>
    <x v="0"/>
    <n v="4"/>
    <s v="Divorced"/>
    <n v="4668"/>
    <n v="22812"/>
    <n v="0"/>
    <s v="Y"/>
    <x v="1"/>
    <n v="17"/>
    <n v="3"/>
    <n v="4"/>
    <n v="80"/>
    <n v="3"/>
    <n v="9"/>
    <n v="2"/>
    <n v="4"/>
    <x v="3"/>
    <n v="7"/>
    <n v="0"/>
    <n v="7"/>
  </r>
  <r>
    <n v="30"/>
    <x v="1"/>
    <s v="Travel_Rarely"/>
    <n v="201"/>
    <x v="1"/>
    <x v="12"/>
    <n v="3"/>
    <s v="Technical Degree"/>
    <n v="1"/>
    <n v="197"/>
    <n v="4"/>
    <x v="0"/>
    <n v="84"/>
    <n v="3"/>
    <x v="1"/>
    <x v="1"/>
    <n v="1"/>
    <s v="Divorced"/>
    <n v="3204"/>
    <n v="10415"/>
    <n v="5"/>
    <s v="Y"/>
    <x v="1"/>
    <n v="14"/>
    <n v="3"/>
    <n v="4"/>
    <n v="80"/>
    <n v="1"/>
    <n v="8"/>
    <n v="3"/>
    <n v="3"/>
    <x v="11"/>
    <n v="2"/>
    <n v="2"/>
    <n v="2"/>
  </r>
  <r>
    <n v="30"/>
    <x v="1"/>
    <s v="Travel_Rarely"/>
    <n v="1427"/>
    <x v="1"/>
    <x v="2"/>
    <n v="1"/>
    <s v="Medical"/>
    <n v="1"/>
    <n v="198"/>
    <n v="2"/>
    <x v="1"/>
    <n v="35"/>
    <n v="2"/>
    <x v="1"/>
    <x v="2"/>
    <n v="4"/>
    <s v="Single"/>
    <n v="2720"/>
    <n v="11162"/>
    <n v="0"/>
    <s v="Y"/>
    <x v="1"/>
    <n v="13"/>
    <n v="3"/>
    <n v="4"/>
    <n v="80"/>
    <n v="0"/>
    <n v="6"/>
    <n v="3"/>
    <n v="3"/>
    <x v="8"/>
    <n v="3"/>
    <n v="1"/>
    <n v="2"/>
  </r>
  <r>
    <n v="41"/>
    <x v="1"/>
    <s v="Travel_Frequently"/>
    <n v="857"/>
    <x v="1"/>
    <x v="17"/>
    <n v="3"/>
    <s v="Life Sciences"/>
    <n v="1"/>
    <n v="199"/>
    <n v="4"/>
    <x v="1"/>
    <n v="91"/>
    <n v="2"/>
    <x v="3"/>
    <x v="5"/>
    <n v="1"/>
    <s v="Divorced"/>
    <n v="17181"/>
    <n v="12888"/>
    <n v="4"/>
    <s v="Y"/>
    <x v="1"/>
    <n v="13"/>
    <n v="3"/>
    <n v="2"/>
    <n v="80"/>
    <n v="1"/>
    <n v="21"/>
    <n v="2"/>
    <n v="2"/>
    <x v="5"/>
    <n v="6"/>
    <n v="7"/>
    <n v="7"/>
  </r>
  <r>
    <n v="41"/>
    <x v="1"/>
    <s v="Travel_Rarely"/>
    <n v="933"/>
    <x v="1"/>
    <x v="14"/>
    <n v="4"/>
    <s v="Life Sciences"/>
    <n v="1"/>
    <n v="200"/>
    <n v="3"/>
    <x v="1"/>
    <n v="94"/>
    <n v="3"/>
    <x v="1"/>
    <x v="2"/>
    <n v="1"/>
    <s v="Married"/>
    <n v="2238"/>
    <n v="6961"/>
    <n v="2"/>
    <s v="Y"/>
    <x v="1"/>
    <n v="21"/>
    <n v="4"/>
    <n v="4"/>
    <n v="80"/>
    <n v="1"/>
    <n v="7"/>
    <n v="2"/>
    <n v="3"/>
    <x v="8"/>
    <n v="0"/>
    <n v="1"/>
    <n v="4"/>
  </r>
  <r>
    <n v="19"/>
    <x v="1"/>
    <s v="Travel_Rarely"/>
    <n v="1181"/>
    <x v="1"/>
    <x v="3"/>
    <n v="1"/>
    <s v="Medical"/>
    <n v="1"/>
    <n v="201"/>
    <n v="2"/>
    <x v="0"/>
    <n v="79"/>
    <n v="3"/>
    <x v="1"/>
    <x v="2"/>
    <n v="2"/>
    <s v="Single"/>
    <n v="1483"/>
    <n v="16102"/>
    <n v="1"/>
    <s v="Y"/>
    <x v="1"/>
    <n v="14"/>
    <n v="3"/>
    <n v="4"/>
    <n v="80"/>
    <n v="0"/>
    <n v="1"/>
    <n v="3"/>
    <n v="3"/>
    <x v="6"/>
    <n v="0"/>
    <n v="0"/>
    <n v="0"/>
  </r>
  <r>
    <n v="40"/>
    <x v="1"/>
    <s v="Travel_Frequently"/>
    <n v="1395"/>
    <x v="1"/>
    <x v="9"/>
    <n v="3"/>
    <s v="Medical"/>
    <n v="1"/>
    <n v="202"/>
    <n v="2"/>
    <x v="0"/>
    <n v="54"/>
    <n v="3"/>
    <x v="0"/>
    <x v="1"/>
    <n v="2"/>
    <s v="Divorced"/>
    <n v="5605"/>
    <n v="8504"/>
    <n v="1"/>
    <s v="Y"/>
    <x v="1"/>
    <n v="11"/>
    <n v="3"/>
    <n v="1"/>
    <n v="80"/>
    <n v="1"/>
    <n v="20"/>
    <n v="2"/>
    <n v="3"/>
    <x v="23"/>
    <n v="7"/>
    <n v="2"/>
    <n v="13"/>
  </r>
  <r>
    <n v="35"/>
    <x v="1"/>
    <s v="Travel_Rarely"/>
    <n v="662"/>
    <x v="0"/>
    <x v="0"/>
    <n v="5"/>
    <s v="Marketing"/>
    <n v="1"/>
    <n v="204"/>
    <n v="3"/>
    <x v="1"/>
    <n v="94"/>
    <n v="3"/>
    <x v="2"/>
    <x v="0"/>
    <n v="2"/>
    <s v="Married"/>
    <n v="7295"/>
    <n v="11439"/>
    <n v="1"/>
    <s v="Y"/>
    <x v="1"/>
    <n v="13"/>
    <n v="3"/>
    <n v="1"/>
    <n v="80"/>
    <n v="2"/>
    <n v="10"/>
    <n v="3"/>
    <n v="3"/>
    <x v="1"/>
    <n v="8"/>
    <n v="0"/>
    <n v="6"/>
  </r>
  <r>
    <n v="53"/>
    <x v="1"/>
    <s v="Travel_Rarely"/>
    <n v="1436"/>
    <x v="0"/>
    <x v="16"/>
    <n v="2"/>
    <s v="Marketing"/>
    <n v="1"/>
    <n v="205"/>
    <n v="2"/>
    <x v="1"/>
    <n v="34"/>
    <n v="3"/>
    <x v="0"/>
    <x v="6"/>
    <n v="3"/>
    <s v="Married"/>
    <n v="2306"/>
    <n v="16047"/>
    <n v="2"/>
    <s v="Y"/>
    <x v="0"/>
    <n v="20"/>
    <n v="4"/>
    <n v="4"/>
    <n v="80"/>
    <n v="1"/>
    <n v="13"/>
    <n v="3"/>
    <n v="1"/>
    <x v="5"/>
    <n v="7"/>
    <n v="4"/>
    <n v="5"/>
  </r>
  <r>
    <n v="45"/>
    <x v="1"/>
    <s v="Travel_Rarely"/>
    <n v="194"/>
    <x v="1"/>
    <x v="14"/>
    <n v="3"/>
    <s v="Life Sciences"/>
    <n v="1"/>
    <n v="206"/>
    <n v="2"/>
    <x v="1"/>
    <n v="60"/>
    <n v="3"/>
    <x v="0"/>
    <x v="2"/>
    <n v="2"/>
    <s v="Divorced"/>
    <n v="2348"/>
    <n v="10901"/>
    <n v="8"/>
    <s v="Y"/>
    <x v="1"/>
    <n v="18"/>
    <n v="3"/>
    <n v="3"/>
    <n v="80"/>
    <n v="1"/>
    <n v="20"/>
    <n v="2"/>
    <n v="1"/>
    <x v="18"/>
    <n v="9"/>
    <n v="0"/>
    <n v="15"/>
  </r>
  <r>
    <n v="32"/>
    <x v="1"/>
    <s v="Travel_Frequently"/>
    <n v="967"/>
    <x v="0"/>
    <x v="1"/>
    <n v="3"/>
    <s v="Marketing"/>
    <n v="1"/>
    <n v="207"/>
    <n v="2"/>
    <x v="0"/>
    <n v="43"/>
    <n v="3"/>
    <x v="2"/>
    <x v="0"/>
    <n v="4"/>
    <s v="Single"/>
    <n v="8998"/>
    <n v="15589"/>
    <n v="1"/>
    <s v="Y"/>
    <x v="1"/>
    <n v="14"/>
    <n v="3"/>
    <n v="4"/>
    <n v="80"/>
    <n v="0"/>
    <n v="9"/>
    <n v="2"/>
    <n v="3"/>
    <x v="7"/>
    <n v="8"/>
    <n v="3"/>
    <n v="7"/>
  </r>
  <r>
    <n v="29"/>
    <x v="1"/>
    <s v="Non-Travel"/>
    <n v="1496"/>
    <x v="1"/>
    <x v="0"/>
    <n v="1"/>
    <s v="Technical Degree"/>
    <n v="1"/>
    <n v="208"/>
    <n v="4"/>
    <x v="1"/>
    <n v="41"/>
    <n v="3"/>
    <x v="0"/>
    <x v="3"/>
    <n v="3"/>
    <s v="Married"/>
    <n v="4319"/>
    <n v="26283"/>
    <n v="1"/>
    <s v="Y"/>
    <x v="1"/>
    <n v="13"/>
    <n v="3"/>
    <n v="1"/>
    <n v="80"/>
    <n v="1"/>
    <n v="10"/>
    <n v="1"/>
    <n v="3"/>
    <x v="1"/>
    <n v="7"/>
    <n v="0"/>
    <n v="9"/>
  </r>
  <r>
    <n v="51"/>
    <x v="1"/>
    <s v="Travel_Rarely"/>
    <n v="1169"/>
    <x v="1"/>
    <x v="15"/>
    <n v="4"/>
    <s v="Medical"/>
    <n v="1"/>
    <n v="211"/>
    <n v="2"/>
    <x v="1"/>
    <n v="34"/>
    <n v="2"/>
    <x v="0"/>
    <x v="3"/>
    <n v="3"/>
    <s v="Married"/>
    <n v="6132"/>
    <n v="13983"/>
    <n v="2"/>
    <s v="Y"/>
    <x v="1"/>
    <n v="17"/>
    <n v="3"/>
    <n v="3"/>
    <n v="80"/>
    <n v="0"/>
    <n v="10"/>
    <n v="2"/>
    <n v="3"/>
    <x v="6"/>
    <n v="0"/>
    <n v="0"/>
    <n v="0"/>
  </r>
  <r>
    <n v="58"/>
    <x v="1"/>
    <s v="Travel_Rarely"/>
    <n v="1145"/>
    <x v="1"/>
    <x v="14"/>
    <n v="3"/>
    <s v="Medical"/>
    <n v="1"/>
    <n v="214"/>
    <n v="2"/>
    <x v="0"/>
    <n v="75"/>
    <n v="2"/>
    <x v="1"/>
    <x v="1"/>
    <n v="2"/>
    <s v="Married"/>
    <n v="3346"/>
    <n v="11873"/>
    <n v="4"/>
    <s v="Y"/>
    <x v="0"/>
    <n v="20"/>
    <n v="4"/>
    <n v="2"/>
    <n v="80"/>
    <n v="1"/>
    <n v="9"/>
    <n v="3"/>
    <n v="2"/>
    <x v="6"/>
    <n v="0"/>
    <n v="0"/>
    <n v="0"/>
  </r>
  <r>
    <n v="40"/>
    <x v="1"/>
    <s v="Travel_Rarely"/>
    <n v="630"/>
    <x v="0"/>
    <x v="18"/>
    <n v="4"/>
    <s v="Marketing"/>
    <n v="1"/>
    <n v="215"/>
    <n v="3"/>
    <x v="1"/>
    <n v="67"/>
    <n v="2"/>
    <x v="2"/>
    <x v="0"/>
    <n v="4"/>
    <s v="Married"/>
    <n v="10855"/>
    <n v="8552"/>
    <n v="7"/>
    <s v="Y"/>
    <x v="1"/>
    <n v="11"/>
    <n v="3"/>
    <n v="1"/>
    <n v="80"/>
    <n v="1"/>
    <n v="15"/>
    <n v="2"/>
    <n v="2"/>
    <x v="12"/>
    <n v="11"/>
    <n v="2"/>
    <n v="11"/>
  </r>
  <r>
    <n v="34"/>
    <x v="1"/>
    <s v="Travel_Frequently"/>
    <n v="303"/>
    <x v="0"/>
    <x v="2"/>
    <n v="4"/>
    <s v="Marketing"/>
    <n v="1"/>
    <n v="216"/>
    <n v="3"/>
    <x v="0"/>
    <n v="75"/>
    <n v="3"/>
    <x v="1"/>
    <x v="6"/>
    <n v="3"/>
    <s v="Married"/>
    <n v="2231"/>
    <n v="11314"/>
    <n v="6"/>
    <s v="Y"/>
    <x v="1"/>
    <n v="18"/>
    <n v="3"/>
    <n v="4"/>
    <n v="80"/>
    <n v="1"/>
    <n v="6"/>
    <n v="3"/>
    <n v="3"/>
    <x v="9"/>
    <n v="3"/>
    <n v="1"/>
    <n v="2"/>
  </r>
  <r>
    <n v="22"/>
    <x v="1"/>
    <s v="Travel_Rarely"/>
    <n v="1256"/>
    <x v="1"/>
    <x v="10"/>
    <n v="1"/>
    <s v="Medical"/>
    <n v="1"/>
    <n v="217"/>
    <n v="3"/>
    <x v="1"/>
    <n v="80"/>
    <n v="3"/>
    <x v="1"/>
    <x v="1"/>
    <n v="4"/>
    <s v="Married"/>
    <n v="2323"/>
    <n v="11992"/>
    <n v="1"/>
    <s v="Y"/>
    <x v="1"/>
    <n v="24"/>
    <n v="4"/>
    <n v="1"/>
    <n v="80"/>
    <n v="2"/>
    <n v="2"/>
    <n v="6"/>
    <n v="3"/>
    <x v="4"/>
    <n v="2"/>
    <n v="2"/>
    <n v="2"/>
  </r>
  <r>
    <n v="27"/>
    <x v="1"/>
    <s v="Non-Travel"/>
    <n v="691"/>
    <x v="1"/>
    <x v="14"/>
    <n v="3"/>
    <s v="Medical"/>
    <n v="1"/>
    <n v="218"/>
    <n v="4"/>
    <x v="1"/>
    <n v="57"/>
    <n v="3"/>
    <x v="1"/>
    <x v="1"/>
    <n v="2"/>
    <s v="Divorced"/>
    <n v="2024"/>
    <n v="5970"/>
    <n v="6"/>
    <s v="Y"/>
    <x v="1"/>
    <n v="18"/>
    <n v="3"/>
    <n v="4"/>
    <n v="80"/>
    <n v="1"/>
    <n v="6"/>
    <n v="1"/>
    <n v="1"/>
    <x v="4"/>
    <n v="2"/>
    <n v="2"/>
    <n v="2"/>
  </r>
  <r>
    <n v="28"/>
    <x v="1"/>
    <s v="Travel_Rarely"/>
    <n v="440"/>
    <x v="1"/>
    <x v="11"/>
    <n v="3"/>
    <s v="Medical"/>
    <n v="1"/>
    <n v="221"/>
    <n v="3"/>
    <x v="1"/>
    <n v="42"/>
    <n v="3"/>
    <x v="1"/>
    <x v="1"/>
    <n v="4"/>
    <s v="Married"/>
    <n v="2713"/>
    <n v="6672"/>
    <n v="1"/>
    <s v="Y"/>
    <x v="1"/>
    <n v="11"/>
    <n v="3"/>
    <n v="3"/>
    <n v="80"/>
    <n v="1"/>
    <n v="5"/>
    <n v="2"/>
    <n v="1"/>
    <x v="8"/>
    <n v="2"/>
    <n v="0"/>
    <n v="2"/>
  </r>
  <r>
    <n v="57"/>
    <x v="1"/>
    <s v="Travel_Rarely"/>
    <n v="334"/>
    <x v="1"/>
    <x v="4"/>
    <n v="2"/>
    <s v="Life Sciences"/>
    <n v="1"/>
    <n v="223"/>
    <n v="3"/>
    <x v="1"/>
    <n v="83"/>
    <n v="4"/>
    <x v="2"/>
    <x v="4"/>
    <n v="4"/>
    <s v="Divorced"/>
    <n v="9439"/>
    <n v="23402"/>
    <n v="3"/>
    <s v="Y"/>
    <x v="0"/>
    <n v="16"/>
    <n v="3"/>
    <n v="2"/>
    <n v="80"/>
    <n v="1"/>
    <n v="12"/>
    <n v="2"/>
    <n v="1"/>
    <x v="8"/>
    <n v="3"/>
    <n v="1"/>
    <n v="4"/>
  </r>
  <r>
    <n v="27"/>
    <x v="1"/>
    <s v="Non-Travel"/>
    <n v="1450"/>
    <x v="1"/>
    <x v="3"/>
    <n v="3"/>
    <s v="Medical"/>
    <n v="1"/>
    <n v="224"/>
    <n v="3"/>
    <x v="1"/>
    <n v="79"/>
    <n v="2"/>
    <x v="1"/>
    <x v="1"/>
    <n v="3"/>
    <s v="Divorced"/>
    <n v="2566"/>
    <n v="25326"/>
    <n v="1"/>
    <s v="Y"/>
    <x v="0"/>
    <n v="15"/>
    <n v="3"/>
    <n v="4"/>
    <n v="80"/>
    <n v="1"/>
    <n v="1"/>
    <n v="2"/>
    <n v="2"/>
    <x v="6"/>
    <n v="1"/>
    <n v="0"/>
    <n v="1"/>
  </r>
  <r>
    <n v="50"/>
    <x v="1"/>
    <s v="Travel_Rarely"/>
    <n v="1452"/>
    <x v="1"/>
    <x v="13"/>
    <n v="3"/>
    <s v="Life Sciences"/>
    <n v="1"/>
    <n v="226"/>
    <n v="3"/>
    <x v="0"/>
    <n v="53"/>
    <n v="3"/>
    <x v="4"/>
    <x v="5"/>
    <n v="2"/>
    <s v="Single"/>
    <n v="19926"/>
    <n v="17053"/>
    <n v="3"/>
    <s v="Y"/>
    <x v="1"/>
    <n v="15"/>
    <n v="3"/>
    <n v="2"/>
    <n v="80"/>
    <n v="0"/>
    <n v="21"/>
    <n v="5"/>
    <n v="3"/>
    <x v="8"/>
    <n v="4"/>
    <n v="4"/>
    <n v="4"/>
  </r>
  <r>
    <n v="41"/>
    <x v="1"/>
    <s v="Travel_Rarely"/>
    <n v="465"/>
    <x v="1"/>
    <x v="24"/>
    <n v="3"/>
    <s v="Life Sciences"/>
    <n v="1"/>
    <n v="227"/>
    <n v="1"/>
    <x v="1"/>
    <n v="56"/>
    <n v="3"/>
    <x v="1"/>
    <x v="1"/>
    <n v="3"/>
    <s v="Divorced"/>
    <n v="2451"/>
    <n v="4609"/>
    <n v="4"/>
    <s v="Y"/>
    <x v="1"/>
    <n v="12"/>
    <n v="3"/>
    <n v="1"/>
    <n v="80"/>
    <n v="1"/>
    <n v="13"/>
    <n v="2"/>
    <n v="3"/>
    <x v="7"/>
    <n v="8"/>
    <n v="1"/>
    <n v="8"/>
  </r>
  <r>
    <n v="30"/>
    <x v="1"/>
    <s v="Travel_Rarely"/>
    <n v="1339"/>
    <x v="0"/>
    <x v="12"/>
    <n v="3"/>
    <s v="Life Sciences"/>
    <n v="1"/>
    <n v="228"/>
    <n v="2"/>
    <x v="0"/>
    <n v="41"/>
    <n v="3"/>
    <x v="2"/>
    <x v="0"/>
    <n v="4"/>
    <s v="Married"/>
    <n v="9419"/>
    <n v="8053"/>
    <n v="2"/>
    <s v="Y"/>
    <x v="1"/>
    <n v="12"/>
    <n v="3"/>
    <n v="3"/>
    <n v="80"/>
    <n v="1"/>
    <n v="12"/>
    <n v="2"/>
    <n v="3"/>
    <x v="1"/>
    <n v="9"/>
    <n v="7"/>
    <n v="4"/>
  </r>
  <r>
    <n v="38"/>
    <x v="1"/>
    <s v="Travel_Rarely"/>
    <n v="702"/>
    <x v="0"/>
    <x v="0"/>
    <n v="4"/>
    <s v="Life Sciences"/>
    <n v="1"/>
    <n v="230"/>
    <n v="1"/>
    <x v="0"/>
    <n v="59"/>
    <n v="2"/>
    <x v="0"/>
    <x v="0"/>
    <n v="4"/>
    <s v="Single"/>
    <n v="8686"/>
    <n v="12930"/>
    <n v="4"/>
    <s v="Y"/>
    <x v="1"/>
    <n v="22"/>
    <n v="4"/>
    <n v="3"/>
    <n v="80"/>
    <n v="0"/>
    <n v="12"/>
    <n v="2"/>
    <n v="4"/>
    <x v="3"/>
    <n v="3"/>
    <n v="0"/>
    <n v="7"/>
  </r>
  <r>
    <n v="32"/>
    <x v="1"/>
    <s v="Travel_Rarely"/>
    <n v="120"/>
    <x v="1"/>
    <x v="16"/>
    <n v="5"/>
    <s v="Life Sciences"/>
    <n v="1"/>
    <n v="231"/>
    <n v="3"/>
    <x v="1"/>
    <n v="43"/>
    <n v="3"/>
    <x v="1"/>
    <x v="1"/>
    <n v="3"/>
    <s v="Single"/>
    <n v="3038"/>
    <n v="12430"/>
    <n v="3"/>
    <s v="Y"/>
    <x v="1"/>
    <n v="20"/>
    <n v="4"/>
    <n v="1"/>
    <n v="80"/>
    <n v="0"/>
    <n v="8"/>
    <n v="2"/>
    <n v="3"/>
    <x v="8"/>
    <n v="4"/>
    <n v="1"/>
    <n v="4"/>
  </r>
  <r>
    <n v="27"/>
    <x v="1"/>
    <s v="Travel_Rarely"/>
    <n v="1157"/>
    <x v="1"/>
    <x v="27"/>
    <n v="3"/>
    <s v="Technical Degree"/>
    <n v="1"/>
    <n v="233"/>
    <n v="3"/>
    <x v="1"/>
    <n v="51"/>
    <n v="3"/>
    <x v="1"/>
    <x v="1"/>
    <n v="2"/>
    <s v="Married"/>
    <n v="3058"/>
    <n v="13364"/>
    <n v="0"/>
    <s v="Y"/>
    <x v="0"/>
    <n v="16"/>
    <n v="3"/>
    <n v="4"/>
    <n v="80"/>
    <n v="1"/>
    <n v="6"/>
    <n v="3"/>
    <n v="2"/>
    <x v="8"/>
    <n v="2"/>
    <n v="1"/>
    <n v="1"/>
  </r>
  <r>
    <n v="19"/>
    <x v="0"/>
    <s v="Travel_Frequently"/>
    <n v="602"/>
    <x v="0"/>
    <x v="0"/>
    <n v="1"/>
    <s v="Technical Degree"/>
    <n v="1"/>
    <n v="235"/>
    <n v="3"/>
    <x v="0"/>
    <n v="100"/>
    <n v="1"/>
    <x v="1"/>
    <x v="6"/>
    <n v="1"/>
    <s v="Single"/>
    <n v="2325"/>
    <n v="20989"/>
    <n v="0"/>
    <s v="Y"/>
    <x v="1"/>
    <n v="21"/>
    <n v="4"/>
    <n v="1"/>
    <n v="80"/>
    <n v="0"/>
    <n v="1"/>
    <n v="5"/>
    <n v="4"/>
    <x v="2"/>
    <n v="0"/>
    <n v="0"/>
    <n v="0"/>
  </r>
  <r>
    <n v="36"/>
    <x v="1"/>
    <s v="Travel_Frequently"/>
    <n v="1480"/>
    <x v="1"/>
    <x v="3"/>
    <n v="2"/>
    <s v="Medical"/>
    <n v="1"/>
    <n v="238"/>
    <n v="4"/>
    <x v="1"/>
    <n v="30"/>
    <n v="3"/>
    <x v="1"/>
    <x v="2"/>
    <n v="2"/>
    <s v="Single"/>
    <n v="2088"/>
    <n v="15062"/>
    <n v="4"/>
    <s v="Y"/>
    <x v="1"/>
    <n v="12"/>
    <n v="3"/>
    <n v="3"/>
    <n v="80"/>
    <n v="0"/>
    <n v="13"/>
    <n v="3"/>
    <n v="2"/>
    <x v="3"/>
    <n v="7"/>
    <n v="7"/>
    <n v="2"/>
  </r>
  <r>
    <n v="30"/>
    <x v="1"/>
    <s v="Non-Travel"/>
    <n v="111"/>
    <x v="1"/>
    <x v="14"/>
    <n v="3"/>
    <s v="Medical"/>
    <n v="1"/>
    <n v="239"/>
    <n v="3"/>
    <x v="1"/>
    <n v="66"/>
    <n v="3"/>
    <x v="0"/>
    <x v="2"/>
    <n v="1"/>
    <s v="Divorced"/>
    <n v="3072"/>
    <n v="11012"/>
    <n v="1"/>
    <s v="Y"/>
    <x v="1"/>
    <n v="11"/>
    <n v="3"/>
    <n v="3"/>
    <n v="80"/>
    <n v="2"/>
    <n v="12"/>
    <n v="4"/>
    <n v="3"/>
    <x v="12"/>
    <n v="9"/>
    <n v="6"/>
    <n v="10"/>
  </r>
  <r>
    <n v="45"/>
    <x v="1"/>
    <s v="Travel_Rarely"/>
    <n v="1268"/>
    <x v="0"/>
    <x v="18"/>
    <n v="2"/>
    <s v="Life Sciences"/>
    <n v="1"/>
    <n v="240"/>
    <n v="3"/>
    <x v="0"/>
    <n v="30"/>
    <n v="3"/>
    <x v="0"/>
    <x v="0"/>
    <n v="1"/>
    <s v="Divorced"/>
    <n v="5006"/>
    <n v="6319"/>
    <n v="4"/>
    <s v="Y"/>
    <x v="0"/>
    <n v="11"/>
    <n v="3"/>
    <n v="1"/>
    <n v="80"/>
    <n v="1"/>
    <n v="9"/>
    <n v="3"/>
    <n v="4"/>
    <x v="8"/>
    <n v="4"/>
    <n v="0"/>
    <n v="3"/>
  </r>
  <r>
    <n v="56"/>
    <x v="1"/>
    <s v="Travel_Rarely"/>
    <n v="713"/>
    <x v="1"/>
    <x v="1"/>
    <n v="3"/>
    <s v="Life Sciences"/>
    <n v="1"/>
    <n v="241"/>
    <n v="3"/>
    <x v="0"/>
    <n v="67"/>
    <n v="3"/>
    <x v="1"/>
    <x v="1"/>
    <n v="1"/>
    <s v="Divorced"/>
    <n v="4257"/>
    <n v="13939"/>
    <n v="4"/>
    <s v="Y"/>
    <x v="0"/>
    <n v="18"/>
    <n v="3"/>
    <n v="3"/>
    <n v="80"/>
    <n v="1"/>
    <n v="19"/>
    <n v="3"/>
    <n v="3"/>
    <x v="4"/>
    <n v="2"/>
    <n v="2"/>
    <n v="2"/>
  </r>
  <r>
    <n v="33"/>
    <x v="1"/>
    <s v="Travel_Rarely"/>
    <n v="134"/>
    <x v="1"/>
    <x v="2"/>
    <n v="3"/>
    <s v="Life Sciences"/>
    <n v="1"/>
    <n v="242"/>
    <n v="3"/>
    <x v="1"/>
    <n v="90"/>
    <n v="3"/>
    <x v="1"/>
    <x v="1"/>
    <n v="4"/>
    <s v="Single"/>
    <n v="2500"/>
    <n v="10515"/>
    <n v="0"/>
    <s v="Y"/>
    <x v="1"/>
    <n v="14"/>
    <n v="3"/>
    <n v="1"/>
    <n v="80"/>
    <n v="0"/>
    <n v="4"/>
    <n v="2"/>
    <n v="4"/>
    <x v="11"/>
    <n v="1"/>
    <n v="0"/>
    <n v="2"/>
  </r>
  <r>
    <n v="19"/>
    <x v="0"/>
    <s v="Travel_Rarely"/>
    <n v="303"/>
    <x v="1"/>
    <x v="2"/>
    <n v="3"/>
    <s v="Life Sciences"/>
    <n v="1"/>
    <n v="243"/>
    <n v="2"/>
    <x v="1"/>
    <n v="47"/>
    <n v="2"/>
    <x v="1"/>
    <x v="2"/>
    <n v="4"/>
    <s v="Single"/>
    <n v="1102"/>
    <n v="9241"/>
    <n v="1"/>
    <s v="Y"/>
    <x v="1"/>
    <n v="22"/>
    <n v="4"/>
    <n v="3"/>
    <n v="80"/>
    <n v="0"/>
    <n v="1"/>
    <n v="3"/>
    <n v="2"/>
    <x v="6"/>
    <n v="0"/>
    <n v="1"/>
    <n v="0"/>
  </r>
  <r>
    <n v="46"/>
    <x v="1"/>
    <s v="Travel_Rarely"/>
    <n v="526"/>
    <x v="0"/>
    <x v="0"/>
    <n v="2"/>
    <s v="Marketing"/>
    <n v="1"/>
    <n v="244"/>
    <n v="2"/>
    <x v="0"/>
    <n v="92"/>
    <n v="3"/>
    <x v="2"/>
    <x v="0"/>
    <n v="1"/>
    <s v="Divorced"/>
    <n v="10453"/>
    <n v="2137"/>
    <n v="1"/>
    <s v="Y"/>
    <x v="1"/>
    <n v="25"/>
    <n v="4"/>
    <n v="3"/>
    <n v="80"/>
    <n v="3"/>
    <n v="24"/>
    <n v="2"/>
    <n v="3"/>
    <x v="25"/>
    <n v="13"/>
    <n v="15"/>
    <n v="7"/>
  </r>
  <r>
    <n v="38"/>
    <x v="1"/>
    <s v="Travel_Rarely"/>
    <n v="1380"/>
    <x v="1"/>
    <x v="14"/>
    <n v="2"/>
    <s v="Life Sciences"/>
    <n v="1"/>
    <n v="245"/>
    <n v="3"/>
    <x v="0"/>
    <n v="75"/>
    <n v="3"/>
    <x v="1"/>
    <x v="2"/>
    <n v="4"/>
    <s v="Single"/>
    <n v="2288"/>
    <n v="6319"/>
    <n v="1"/>
    <s v="Y"/>
    <x v="1"/>
    <n v="12"/>
    <n v="3"/>
    <n v="3"/>
    <n v="80"/>
    <n v="0"/>
    <n v="2"/>
    <n v="3"/>
    <n v="3"/>
    <x v="4"/>
    <n v="2"/>
    <n v="2"/>
    <n v="1"/>
  </r>
  <r>
    <n v="31"/>
    <x v="1"/>
    <s v="Travel_Rarely"/>
    <n v="140"/>
    <x v="1"/>
    <x v="20"/>
    <n v="1"/>
    <s v="Medical"/>
    <n v="1"/>
    <n v="246"/>
    <n v="3"/>
    <x v="0"/>
    <n v="95"/>
    <n v="3"/>
    <x v="1"/>
    <x v="1"/>
    <n v="4"/>
    <s v="Married"/>
    <n v="3929"/>
    <n v="6984"/>
    <n v="8"/>
    <s v="Y"/>
    <x v="0"/>
    <n v="23"/>
    <n v="4"/>
    <n v="3"/>
    <n v="80"/>
    <n v="1"/>
    <n v="7"/>
    <n v="0"/>
    <n v="3"/>
    <x v="9"/>
    <n v="2"/>
    <n v="0"/>
    <n v="2"/>
  </r>
  <r>
    <n v="34"/>
    <x v="1"/>
    <s v="Travel_Rarely"/>
    <n v="629"/>
    <x v="1"/>
    <x v="6"/>
    <n v="2"/>
    <s v="Medical"/>
    <n v="1"/>
    <n v="247"/>
    <n v="4"/>
    <x v="0"/>
    <n v="95"/>
    <n v="3"/>
    <x v="1"/>
    <x v="1"/>
    <n v="2"/>
    <s v="Single"/>
    <n v="2311"/>
    <n v="5711"/>
    <n v="2"/>
    <s v="Y"/>
    <x v="1"/>
    <n v="15"/>
    <n v="3"/>
    <n v="4"/>
    <n v="80"/>
    <n v="0"/>
    <n v="9"/>
    <n v="3"/>
    <n v="3"/>
    <x v="11"/>
    <n v="2"/>
    <n v="1"/>
    <n v="2"/>
  </r>
  <r>
    <n v="41"/>
    <x v="0"/>
    <s v="Travel_Rarely"/>
    <n v="1356"/>
    <x v="0"/>
    <x v="25"/>
    <n v="2"/>
    <s v="Marketing"/>
    <n v="1"/>
    <n v="248"/>
    <n v="2"/>
    <x v="0"/>
    <n v="70"/>
    <n v="3"/>
    <x v="1"/>
    <x v="6"/>
    <n v="2"/>
    <s v="Single"/>
    <n v="3140"/>
    <n v="21728"/>
    <n v="1"/>
    <s v="Y"/>
    <x v="0"/>
    <n v="22"/>
    <n v="4"/>
    <n v="4"/>
    <n v="80"/>
    <n v="0"/>
    <n v="4"/>
    <n v="5"/>
    <n v="2"/>
    <x v="9"/>
    <n v="3"/>
    <n v="0"/>
    <n v="2"/>
  </r>
  <r>
    <n v="50"/>
    <x v="1"/>
    <s v="Travel_Rarely"/>
    <n v="328"/>
    <x v="1"/>
    <x v="0"/>
    <n v="3"/>
    <s v="Medical"/>
    <n v="1"/>
    <n v="249"/>
    <n v="3"/>
    <x v="1"/>
    <n v="86"/>
    <n v="2"/>
    <x v="1"/>
    <x v="2"/>
    <n v="3"/>
    <s v="Married"/>
    <n v="3690"/>
    <n v="3425"/>
    <n v="2"/>
    <s v="Y"/>
    <x v="1"/>
    <n v="15"/>
    <n v="3"/>
    <n v="4"/>
    <n v="80"/>
    <n v="1"/>
    <n v="5"/>
    <n v="2"/>
    <n v="2"/>
    <x v="11"/>
    <n v="2"/>
    <n v="0"/>
    <n v="2"/>
  </r>
  <r>
    <n v="53"/>
    <x v="1"/>
    <s v="Travel_Rarely"/>
    <n v="1084"/>
    <x v="1"/>
    <x v="28"/>
    <n v="2"/>
    <s v="Medical"/>
    <n v="1"/>
    <n v="250"/>
    <n v="4"/>
    <x v="0"/>
    <n v="57"/>
    <n v="4"/>
    <x v="0"/>
    <x v="3"/>
    <n v="1"/>
    <s v="Divorced"/>
    <n v="4450"/>
    <n v="26250"/>
    <n v="1"/>
    <s v="Y"/>
    <x v="1"/>
    <n v="11"/>
    <n v="3"/>
    <n v="3"/>
    <n v="80"/>
    <n v="2"/>
    <n v="5"/>
    <n v="3"/>
    <n v="3"/>
    <x v="9"/>
    <n v="2"/>
    <n v="1"/>
    <n v="3"/>
  </r>
  <r>
    <n v="33"/>
    <x v="1"/>
    <s v="Travel_Rarely"/>
    <n v="931"/>
    <x v="1"/>
    <x v="24"/>
    <n v="3"/>
    <s v="Medical"/>
    <n v="1"/>
    <n v="252"/>
    <n v="4"/>
    <x v="0"/>
    <n v="72"/>
    <n v="3"/>
    <x v="1"/>
    <x v="1"/>
    <n v="2"/>
    <s v="Married"/>
    <n v="2756"/>
    <n v="4673"/>
    <n v="1"/>
    <s v="Y"/>
    <x v="1"/>
    <n v="13"/>
    <n v="3"/>
    <n v="4"/>
    <n v="80"/>
    <n v="1"/>
    <n v="8"/>
    <n v="5"/>
    <n v="3"/>
    <x v="3"/>
    <n v="7"/>
    <n v="1"/>
    <n v="6"/>
  </r>
  <r>
    <n v="40"/>
    <x v="1"/>
    <s v="Travel_Rarely"/>
    <n v="989"/>
    <x v="1"/>
    <x v="18"/>
    <n v="1"/>
    <s v="Medical"/>
    <n v="1"/>
    <n v="253"/>
    <n v="4"/>
    <x v="0"/>
    <n v="46"/>
    <n v="3"/>
    <x v="4"/>
    <x v="5"/>
    <n v="3"/>
    <s v="Married"/>
    <n v="19033"/>
    <n v="6499"/>
    <n v="1"/>
    <s v="Y"/>
    <x v="1"/>
    <n v="14"/>
    <n v="3"/>
    <n v="2"/>
    <n v="80"/>
    <n v="1"/>
    <n v="21"/>
    <n v="2"/>
    <n v="3"/>
    <x v="23"/>
    <n v="8"/>
    <n v="9"/>
    <n v="9"/>
  </r>
  <r>
    <n v="55"/>
    <x v="1"/>
    <s v="Travel_Rarely"/>
    <n v="692"/>
    <x v="1"/>
    <x v="24"/>
    <n v="4"/>
    <s v="Medical"/>
    <n v="1"/>
    <n v="254"/>
    <n v="3"/>
    <x v="1"/>
    <n v="61"/>
    <n v="4"/>
    <x v="4"/>
    <x v="7"/>
    <n v="2"/>
    <s v="Single"/>
    <n v="18722"/>
    <n v="13339"/>
    <n v="8"/>
    <s v="Y"/>
    <x v="1"/>
    <n v="11"/>
    <n v="3"/>
    <n v="4"/>
    <n v="80"/>
    <n v="0"/>
    <n v="36"/>
    <n v="3"/>
    <n v="3"/>
    <x v="25"/>
    <n v="15"/>
    <n v="2"/>
    <n v="15"/>
  </r>
  <r>
    <n v="34"/>
    <x v="1"/>
    <s v="Travel_Frequently"/>
    <n v="1069"/>
    <x v="1"/>
    <x v="2"/>
    <n v="1"/>
    <s v="Life Sciences"/>
    <n v="1"/>
    <n v="256"/>
    <n v="4"/>
    <x v="1"/>
    <n v="45"/>
    <n v="2"/>
    <x v="0"/>
    <x v="3"/>
    <n v="3"/>
    <s v="Married"/>
    <n v="9547"/>
    <n v="14074"/>
    <n v="1"/>
    <s v="Y"/>
    <x v="1"/>
    <n v="17"/>
    <n v="3"/>
    <n v="3"/>
    <n v="80"/>
    <n v="0"/>
    <n v="10"/>
    <n v="2"/>
    <n v="2"/>
    <x v="1"/>
    <n v="9"/>
    <n v="1"/>
    <n v="9"/>
  </r>
  <r>
    <n v="51"/>
    <x v="1"/>
    <s v="Travel_Rarely"/>
    <n v="313"/>
    <x v="1"/>
    <x v="3"/>
    <n v="3"/>
    <s v="Medical"/>
    <n v="1"/>
    <n v="258"/>
    <n v="4"/>
    <x v="0"/>
    <n v="98"/>
    <n v="3"/>
    <x v="3"/>
    <x v="4"/>
    <n v="2"/>
    <s v="Single"/>
    <n v="13734"/>
    <n v="7192"/>
    <n v="3"/>
    <s v="Y"/>
    <x v="1"/>
    <n v="18"/>
    <n v="3"/>
    <n v="3"/>
    <n v="80"/>
    <n v="0"/>
    <n v="21"/>
    <n v="6"/>
    <n v="3"/>
    <x v="5"/>
    <n v="7"/>
    <n v="1"/>
    <n v="0"/>
  </r>
  <r>
    <n v="52"/>
    <x v="1"/>
    <s v="Travel_Rarely"/>
    <n v="699"/>
    <x v="1"/>
    <x v="0"/>
    <n v="4"/>
    <s v="Life Sciences"/>
    <n v="1"/>
    <n v="259"/>
    <n v="3"/>
    <x v="1"/>
    <n v="65"/>
    <n v="2"/>
    <x v="4"/>
    <x v="5"/>
    <n v="3"/>
    <s v="Married"/>
    <n v="19999"/>
    <n v="5678"/>
    <n v="0"/>
    <s v="Y"/>
    <x v="1"/>
    <n v="14"/>
    <n v="3"/>
    <n v="1"/>
    <n v="80"/>
    <n v="1"/>
    <n v="34"/>
    <n v="5"/>
    <n v="3"/>
    <x v="26"/>
    <n v="18"/>
    <n v="11"/>
    <n v="9"/>
  </r>
  <r>
    <n v="27"/>
    <x v="1"/>
    <s v="Travel_Rarely"/>
    <n v="894"/>
    <x v="1"/>
    <x v="14"/>
    <n v="3"/>
    <s v="Medical"/>
    <n v="1"/>
    <n v="260"/>
    <n v="4"/>
    <x v="0"/>
    <n v="99"/>
    <n v="3"/>
    <x v="1"/>
    <x v="1"/>
    <n v="2"/>
    <s v="Single"/>
    <n v="2279"/>
    <n v="11781"/>
    <n v="1"/>
    <s v="Y"/>
    <x v="1"/>
    <n v="16"/>
    <n v="3"/>
    <n v="4"/>
    <n v="80"/>
    <n v="0"/>
    <n v="7"/>
    <n v="2"/>
    <n v="2"/>
    <x v="5"/>
    <n v="7"/>
    <n v="0"/>
    <n v="3"/>
  </r>
  <r>
    <n v="35"/>
    <x v="0"/>
    <s v="Travel_Rarely"/>
    <n v="556"/>
    <x v="1"/>
    <x v="5"/>
    <n v="2"/>
    <s v="Life Sciences"/>
    <n v="1"/>
    <n v="261"/>
    <n v="2"/>
    <x v="1"/>
    <n v="50"/>
    <n v="2"/>
    <x v="0"/>
    <x v="3"/>
    <n v="3"/>
    <s v="Married"/>
    <n v="5916"/>
    <n v="15497"/>
    <n v="3"/>
    <s v="Y"/>
    <x v="0"/>
    <n v="13"/>
    <n v="3"/>
    <n v="1"/>
    <n v="80"/>
    <n v="0"/>
    <n v="8"/>
    <n v="1"/>
    <n v="3"/>
    <x v="6"/>
    <n v="0"/>
    <n v="0"/>
    <n v="1"/>
  </r>
  <r>
    <n v="43"/>
    <x v="1"/>
    <s v="Non-Travel"/>
    <n v="1344"/>
    <x v="1"/>
    <x v="15"/>
    <n v="3"/>
    <s v="Medical"/>
    <n v="1"/>
    <n v="262"/>
    <n v="4"/>
    <x v="1"/>
    <n v="37"/>
    <n v="4"/>
    <x v="1"/>
    <x v="1"/>
    <n v="4"/>
    <s v="Divorced"/>
    <n v="2089"/>
    <n v="5228"/>
    <n v="4"/>
    <s v="Y"/>
    <x v="1"/>
    <n v="14"/>
    <n v="3"/>
    <n v="4"/>
    <n v="80"/>
    <n v="3"/>
    <n v="7"/>
    <n v="3"/>
    <n v="4"/>
    <x v="8"/>
    <n v="4"/>
    <n v="2"/>
    <n v="2"/>
  </r>
  <r>
    <n v="45"/>
    <x v="1"/>
    <s v="Non-Travel"/>
    <n v="1195"/>
    <x v="1"/>
    <x v="2"/>
    <n v="2"/>
    <s v="Medical"/>
    <n v="1"/>
    <n v="264"/>
    <n v="1"/>
    <x v="1"/>
    <n v="65"/>
    <n v="2"/>
    <x v="3"/>
    <x v="5"/>
    <n v="4"/>
    <s v="Married"/>
    <n v="16792"/>
    <n v="20462"/>
    <n v="9"/>
    <s v="Y"/>
    <x v="1"/>
    <n v="23"/>
    <n v="4"/>
    <n v="4"/>
    <n v="80"/>
    <n v="1"/>
    <n v="22"/>
    <n v="1"/>
    <n v="3"/>
    <x v="23"/>
    <n v="8"/>
    <n v="11"/>
    <n v="8"/>
  </r>
  <r>
    <n v="37"/>
    <x v="1"/>
    <s v="Travel_Rarely"/>
    <n v="290"/>
    <x v="1"/>
    <x v="11"/>
    <n v="3"/>
    <s v="Life Sciences"/>
    <n v="1"/>
    <n v="267"/>
    <n v="2"/>
    <x v="1"/>
    <n v="65"/>
    <n v="4"/>
    <x v="1"/>
    <x v="1"/>
    <n v="1"/>
    <s v="Married"/>
    <n v="3564"/>
    <n v="22977"/>
    <n v="1"/>
    <s v="Y"/>
    <x v="0"/>
    <n v="12"/>
    <n v="3"/>
    <n v="1"/>
    <n v="80"/>
    <n v="1"/>
    <n v="8"/>
    <n v="3"/>
    <n v="2"/>
    <x v="3"/>
    <n v="7"/>
    <n v="1"/>
    <n v="7"/>
  </r>
  <r>
    <n v="35"/>
    <x v="1"/>
    <s v="Travel_Frequently"/>
    <n v="138"/>
    <x v="1"/>
    <x v="2"/>
    <n v="3"/>
    <s v="Medical"/>
    <n v="1"/>
    <n v="269"/>
    <n v="2"/>
    <x v="0"/>
    <n v="37"/>
    <n v="3"/>
    <x v="0"/>
    <x v="2"/>
    <n v="2"/>
    <s v="Single"/>
    <n v="4425"/>
    <n v="15986"/>
    <n v="5"/>
    <s v="Y"/>
    <x v="1"/>
    <n v="11"/>
    <n v="3"/>
    <n v="4"/>
    <n v="80"/>
    <n v="0"/>
    <n v="10"/>
    <n v="5"/>
    <n v="3"/>
    <x v="0"/>
    <n v="2"/>
    <n v="1"/>
    <n v="2"/>
  </r>
  <r>
    <n v="42"/>
    <x v="1"/>
    <s v="Non-Travel"/>
    <n v="926"/>
    <x v="1"/>
    <x v="11"/>
    <n v="2"/>
    <s v="Medical"/>
    <n v="1"/>
    <n v="270"/>
    <n v="3"/>
    <x v="0"/>
    <n v="36"/>
    <n v="3"/>
    <x v="0"/>
    <x v="3"/>
    <n v="3"/>
    <s v="Divorced"/>
    <n v="5265"/>
    <n v="16439"/>
    <n v="2"/>
    <s v="Y"/>
    <x v="1"/>
    <n v="16"/>
    <n v="3"/>
    <n v="2"/>
    <n v="80"/>
    <n v="1"/>
    <n v="11"/>
    <n v="5"/>
    <n v="3"/>
    <x v="8"/>
    <n v="3"/>
    <n v="0"/>
    <n v="2"/>
  </r>
  <r>
    <n v="38"/>
    <x v="1"/>
    <s v="Travel_Rarely"/>
    <n v="1261"/>
    <x v="1"/>
    <x v="2"/>
    <n v="4"/>
    <s v="Life Sciences"/>
    <n v="1"/>
    <n v="271"/>
    <n v="4"/>
    <x v="1"/>
    <n v="88"/>
    <n v="3"/>
    <x v="0"/>
    <x v="3"/>
    <n v="3"/>
    <s v="Married"/>
    <n v="6553"/>
    <n v="7259"/>
    <n v="9"/>
    <s v="Y"/>
    <x v="1"/>
    <n v="14"/>
    <n v="3"/>
    <n v="2"/>
    <n v="80"/>
    <n v="0"/>
    <n v="14"/>
    <n v="3"/>
    <n v="3"/>
    <x v="6"/>
    <n v="0"/>
    <n v="0"/>
    <n v="0"/>
  </r>
  <r>
    <n v="38"/>
    <x v="1"/>
    <s v="Travel_Rarely"/>
    <n v="1084"/>
    <x v="1"/>
    <x v="22"/>
    <n v="3"/>
    <s v="Technical Degree"/>
    <n v="1"/>
    <n v="273"/>
    <n v="4"/>
    <x v="1"/>
    <n v="54"/>
    <n v="3"/>
    <x v="0"/>
    <x v="3"/>
    <n v="4"/>
    <s v="Married"/>
    <n v="6261"/>
    <n v="4185"/>
    <n v="3"/>
    <s v="Y"/>
    <x v="1"/>
    <n v="18"/>
    <n v="3"/>
    <n v="1"/>
    <n v="80"/>
    <n v="1"/>
    <n v="9"/>
    <n v="3"/>
    <n v="1"/>
    <x v="5"/>
    <n v="7"/>
    <n v="1"/>
    <n v="7"/>
  </r>
  <r>
    <n v="27"/>
    <x v="1"/>
    <s v="Travel_Frequently"/>
    <n v="472"/>
    <x v="1"/>
    <x v="0"/>
    <n v="1"/>
    <s v="Technical Degree"/>
    <n v="1"/>
    <n v="274"/>
    <n v="3"/>
    <x v="1"/>
    <n v="60"/>
    <n v="2"/>
    <x v="0"/>
    <x v="3"/>
    <n v="1"/>
    <s v="Married"/>
    <n v="4298"/>
    <n v="9679"/>
    <n v="5"/>
    <s v="Y"/>
    <x v="1"/>
    <n v="19"/>
    <n v="3"/>
    <n v="3"/>
    <n v="80"/>
    <n v="1"/>
    <n v="6"/>
    <n v="1"/>
    <n v="3"/>
    <x v="4"/>
    <n v="2"/>
    <n v="2"/>
    <n v="0"/>
  </r>
  <r>
    <n v="49"/>
    <x v="1"/>
    <s v="Non-Travel"/>
    <n v="1002"/>
    <x v="1"/>
    <x v="21"/>
    <n v="4"/>
    <s v="Life Sciences"/>
    <n v="1"/>
    <n v="275"/>
    <n v="4"/>
    <x v="1"/>
    <n v="92"/>
    <n v="3"/>
    <x v="0"/>
    <x v="3"/>
    <n v="4"/>
    <s v="Divorced"/>
    <n v="6804"/>
    <n v="23793"/>
    <n v="1"/>
    <s v="Y"/>
    <x v="0"/>
    <n v="15"/>
    <n v="3"/>
    <n v="1"/>
    <n v="80"/>
    <n v="2"/>
    <n v="7"/>
    <n v="0"/>
    <n v="3"/>
    <x v="5"/>
    <n v="7"/>
    <n v="1"/>
    <n v="7"/>
  </r>
  <r>
    <n v="34"/>
    <x v="1"/>
    <s v="Travel_Frequently"/>
    <n v="878"/>
    <x v="1"/>
    <x v="17"/>
    <n v="4"/>
    <s v="Medical"/>
    <n v="1"/>
    <n v="277"/>
    <n v="4"/>
    <x v="1"/>
    <n v="43"/>
    <n v="3"/>
    <x v="1"/>
    <x v="1"/>
    <n v="3"/>
    <s v="Divorced"/>
    <n v="3815"/>
    <n v="5972"/>
    <n v="1"/>
    <s v="Y"/>
    <x v="0"/>
    <n v="17"/>
    <n v="3"/>
    <n v="4"/>
    <n v="80"/>
    <n v="1"/>
    <n v="5"/>
    <n v="4"/>
    <n v="4"/>
    <x v="8"/>
    <n v="3"/>
    <n v="2"/>
    <n v="0"/>
  </r>
  <r>
    <n v="40"/>
    <x v="1"/>
    <s v="Travel_Rarely"/>
    <n v="905"/>
    <x v="1"/>
    <x v="10"/>
    <n v="2"/>
    <s v="Medical"/>
    <n v="1"/>
    <n v="281"/>
    <n v="3"/>
    <x v="1"/>
    <n v="99"/>
    <n v="3"/>
    <x v="0"/>
    <x v="2"/>
    <n v="4"/>
    <s v="Married"/>
    <n v="2741"/>
    <n v="16523"/>
    <n v="8"/>
    <s v="Y"/>
    <x v="0"/>
    <n v="15"/>
    <n v="3"/>
    <n v="3"/>
    <n v="80"/>
    <n v="1"/>
    <n v="15"/>
    <n v="2"/>
    <n v="4"/>
    <x v="5"/>
    <n v="2"/>
    <n v="3"/>
    <n v="7"/>
  </r>
  <r>
    <n v="38"/>
    <x v="0"/>
    <s v="Travel_Rarely"/>
    <n v="1180"/>
    <x v="1"/>
    <x v="22"/>
    <n v="1"/>
    <s v="Medical"/>
    <n v="1"/>
    <n v="282"/>
    <n v="2"/>
    <x v="1"/>
    <n v="70"/>
    <n v="3"/>
    <x v="0"/>
    <x v="4"/>
    <n v="1"/>
    <s v="Married"/>
    <n v="6673"/>
    <n v="11354"/>
    <n v="7"/>
    <s v="Y"/>
    <x v="0"/>
    <n v="19"/>
    <n v="3"/>
    <n v="2"/>
    <n v="80"/>
    <n v="0"/>
    <n v="17"/>
    <n v="2"/>
    <n v="3"/>
    <x v="6"/>
    <n v="0"/>
    <n v="0"/>
    <n v="0"/>
  </r>
  <r>
    <n v="29"/>
    <x v="0"/>
    <s v="Travel_Rarely"/>
    <n v="121"/>
    <x v="0"/>
    <x v="6"/>
    <n v="3"/>
    <s v="Marketing"/>
    <n v="1"/>
    <n v="283"/>
    <n v="2"/>
    <x v="0"/>
    <n v="35"/>
    <n v="3"/>
    <x v="2"/>
    <x v="0"/>
    <n v="4"/>
    <s v="Married"/>
    <n v="7639"/>
    <n v="24525"/>
    <n v="1"/>
    <s v="Y"/>
    <x v="1"/>
    <n v="22"/>
    <n v="4"/>
    <n v="4"/>
    <n v="80"/>
    <n v="3"/>
    <n v="10"/>
    <n v="3"/>
    <n v="2"/>
    <x v="1"/>
    <n v="4"/>
    <n v="1"/>
    <n v="9"/>
  </r>
  <r>
    <n v="22"/>
    <x v="1"/>
    <s v="Travel_Rarely"/>
    <n v="1136"/>
    <x v="1"/>
    <x v="12"/>
    <n v="3"/>
    <s v="Life Sciences"/>
    <n v="1"/>
    <n v="284"/>
    <n v="4"/>
    <x v="1"/>
    <n v="60"/>
    <n v="4"/>
    <x v="1"/>
    <x v="1"/>
    <n v="2"/>
    <s v="Divorced"/>
    <n v="2328"/>
    <n v="12392"/>
    <n v="1"/>
    <s v="Y"/>
    <x v="0"/>
    <n v="16"/>
    <n v="3"/>
    <n v="1"/>
    <n v="80"/>
    <n v="1"/>
    <n v="4"/>
    <n v="2"/>
    <n v="2"/>
    <x v="9"/>
    <n v="2"/>
    <n v="2"/>
    <n v="2"/>
  </r>
  <r>
    <n v="36"/>
    <x v="1"/>
    <s v="Travel_Frequently"/>
    <n v="635"/>
    <x v="1"/>
    <x v="21"/>
    <n v="1"/>
    <s v="Medical"/>
    <n v="1"/>
    <n v="286"/>
    <n v="2"/>
    <x v="0"/>
    <n v="73"/>
    <n v="3"/>
    <x v="1"/>
    <x v="2"/>
    <n v="4"/>
    <s v="Single"/>
    <n v="2153"/>
    <n v="7703"/>
    <n v="1"/>
    <s v="Y"/>
    <x v="1"/>
    <n v="13"/>
    <n v="3"/>
    <n v="1"/>
    <n v="80"/>
    <n v="0"/>
    <n v="8"/>
    <n v="2"/>
    <n v="3"/>
    <x v="3"/>
    <n v="1"/>
    <n v="1"/>
    <n v="7"/>
  </r>
  <r>
    <n v="40"/>
    <x v="1"/>
    <s v="Non-Travel"/>
    <n v="1151"/>
    <x v="1"/>
    <x v="14"/>
    <n v="5"/>
    <s v="Life Sciences"/>
    <n v="1"/>
    <n v="287"/>
    <n v="4"/>
    <x v="1"/>
    <n v="63"/>
    <n v="2"/>
    <x v="0"/>
    <x v="4"/>
    <n v="4"/>
    <s v="Married"/>
    <n v="4876"/>
    <n v="14242"/>
    <n v="9"/>
    <s v="Y"/>
    <x v="1"/>
    <n v="14"/>
    <n v="3"/>
    <n v="4"/>
    <n v="80"/>
    <n v="1"/>
    <n v="5"/>
    <n v="5"/>
    <n v="1"/>
    <x v="11"/>
    <n v="2"/>
    <n v="0"/>
    <n v="2"/>
  </r>
  <r>
    <n v="46"/>
    <x v="1"/>
    <s v="Travel_Rarely"/>
    <n v="644"/>
    <x v="1"/>
    <x v="0"/>
    <n v="4"/>
    <s v="Medical"/>
    <n v="1"/>
    <n v="288"/>
    <n v="4"/>
    <x v="1"/>
    <n v="97"/>
    <n v="3"/>
    <x v="2"/>
    <x v="4"/>
    <n v="1"/>
    <s v="Divorced"/>
    <n v="9396"/>
    <n v="12368"/>
    <n v="7"/>
    <s v="Y"/>
    <x v="1"/>
    <n v="16"/>
    <n v="3"/>
    <n v="3"/>
    <n v="80"/>
    <n v="1"/>
    <n v="17"/>
    <n v="3"/>
    <n v="3"/>
    <x v="9"/>
    <n v="2"/>
    <n v="0"/>
    <n v="3"/>
  </r>
  <r>
    <n v="32"/>
    <x v="0"/>
    <s v="Travel_Rarely"/>
    <n v="1045"/>
    <x v="0"/>
    <x v="18"/>
    <n v="4"/>
    <s v="Medical"/>
    <n v="1"/>
    <n v="291"/>
    <n v="4"/>
    <x v="1"/>
    <n v="32"/>
    <n v="1"/>
    <x v="2"/>
    <x v="0"/>
    <n v="4"/>
    <s v="Married"/>
    <n v="10400"/>
    <n v="25812"/>
    <n v="1"/>
    <s v="Y"/>
    <x v="1"/>
    <n v="11"/>
    <n v="3"/>
    <n v="3"/>
    <n v="80"/>
    <n v="0"/>
    <n v="14"/>
    <n v="2"/>
    <n v="2"/>
    <x v="13"/>
    <n v="8"/>
    <n v="9"/>
    <n v="8"/>
  </r>
  <r>
    <n v="30"/>
    <x v="1"/>
    <s v="Non-Travel"/>
    <n v="829"/>
    <x v="1"/>
    <x v="0"/>
    <n v="1"/>
    <s v="Life Sciences"/>
    <n v="1"/>
    <n v="292"/>
    <n v="3"/>
    <x v="1"/>
    <n v="88"/>
    <n v="2"/>
    <x v="2"/>
    <x v="3"/>
    <n v="3"/>
    <s v="Single"/>
    <n v="8474"/>
    <n v="20925"/>
    <n v="1"/>
    <s v="Y"/>
    <x v="1"/>
    <n v="22"/>
    <n v="4"/>
    <n v="3"/>
    <n v="80"/>
    <n v="0"/>
    <n v="12"/>
    <n v="2"/>
    <n v="3"/>
    <x v="19"/>
    <n v="8"/>
    <n v="5"/>
    <n v="8"/>
  </r>
  <r>
    <n v="27"/>
    <x v="1"/>
    <s v="Travel_Frequently"/>
    <n v="1242"/>
    <x v="0"/>
    <x v="25"/>
    <n v="3"/>
    <s v="Life Sciences"/>
    <n v="1"/>
    <n v="293"/>
    <n v="4"/>
    <x v="0"/>
    <n v="90"/>
    <n v="3"/>
    <x v="0"/>
    <x v="0"/>
    <n v="3"/>
    <s v="Single"/>
    <n v="9981"/>
    <n v="12916"/>
    <n v="1"/>
    <s v="Y"/>
    <x v="1"/>
    <n v="14"/>
    <n v="3"/>
    <n v="4"/>
    <n v="80"/>
    <n v="0"/>
    <n v="7"/>
    <n v="2"/>
    <n v="3"/>
    <x v="5"/>
    <n v="7"/>
    <n v="0"/>
    <n v="7"/>
  </r>
  <r>
    <n v="51"/>
    <x v="1"/>
    <s v="Travel_Rarely"/>
    <n v="1469"/>
    <x v="1"/>
    <x v="1"/>
    <n v="4"/>
    <s v="Life Sciences"/>
    <n v="1"/>
    <n v="296"/>
    <n v="2"/>
    <x v="1"/>
    <n v="81"/>
    <n v="2"/>
    <x v="2"/>
    <x v="7"/>
    <n v="2"/>
    <s v="Married"/>
    <n v="12490"/>
    <n v="15736"/>
    <n v="5"/>
    <s v="Y"/>
    <x v="1"/>
    <n v="16"/>
    <n v="3"/>
    <n v="4"/>
    <n v="80"/>
    <n v="2"/>
    <n v="16"/>
    <n v="5"/>
    <n v="1"/>
    <x v="1"/>
    <n v="9"/>
    <n v="4"/>
    <n v="7"/>
  </r>
  <r>
    <n v="30"/>
    <x v="0"/>
    <s v="Travel_Rarely"/>
    <n v="1005"/>
    <x v="1"/>
    <x v="3"/>
    <n v="3"/>
    <s v="Technical Degree"/>
    <n v="1"/>
    <n v="297"/>
    <n v="4"/>
    <x v="0"/>
    <n v="88"/>
    <n v="3"/>
    <x v="1"/>
    <x v="1"/>
    <n v="1"/>
    <s v="Single"/>
    <n v="2657"/>
    <n v="8556"/>
    <n v="5"/>
    <s v="Y"/>
    <x v="0"/>
    <n v="11"/>
    <n v="3"/>
    <n v="3"/>
    <n v="80"/>
    <n v="0"/>
    <n v="8"/>
    <n v="5"/>
    <n v="3"/>
    <x v="8"/>
    <n v="2"/>
    <n v="0"/>
    <n v="4"/>
  </r>
  <r>
    <n v="41"/>
    <x v="1"/>
    <s v="Travel_Rarely"/>
    <n v="896"/>
    <x v="0"/>
    <x v="16"/>
    <n v="3"/>
    <s v="Life Sciences"/>
    <n v="1"/>
    <n v="298"/>
    <n v="4"/>
    <x v="0"/>
    <n v="75"/>
    <n v="3"/>
    <x v="2"/>
    <x v="5"/>
    <n v="4"/>
    <s v="Single"/>
    <n v="13591"/>
    <n v="14674"/>
    <n v="3"/>
    <s v="Y"/>
    <x v="0"/>
    <n v="18"/>
    <n v="3"/>
    <n v="3"/>
    <n v="80"/>
    <n v="0"/>
    <n v="16"/>
    <n v="3"/>
    <n v="3"/>
    <x v="6"/>
    <n v="0"/>
    <n v="0"/>
    <n v="0"/>
  </r>
  <r>
    <n v="30"/>
    <x v="0"/>
    <s v="Travel_Frequently"/>
    <n v="334"/>
    <x v="0"/>
    <x v="9"/>
    <n v="4"/>
    <s v="Marketing"/>
    <n v="1"/>
    <n v="299"/>
    <n v="3"/>
    <x v="0"/>
    <n v="52"/>
    <n v="2"/>
    <x v="0"/>
    <x v="0"/>
    <n v="1"/>
    <s v="Single"/>
    <n v="6696"/>
    <n v="22967"/>
    <n v="5"/>
    <s v="Y"/>
    <x v="1"/>
    <n v="15"/>
    <n v="3"/>
    <n v="3"/>
    <n v="80"/>
    <n v="0"/>
    <n v="9"/>
    <n v="5"/>
    <n v="2"/>
    <x v="0"/>
    <n v="3"/>
    <n v="0"/>
    <n v="1"/>
  </r>
  <r>
    <n v="29"/>
    <x v="0"/>
    <s v="Travel_Rarely"/>
    <n v="992"/>
    <x v="1"/>
    <x v="0"/>
    <n v="3"/>
    <s v="Technical Degree"/>
    <n v="1"/>
    <n v="300"/>
    <n v="3"/>
    <x v="1"/>
    <n v="85"/>
    <n v="3"/>
    <x v="1"/>
    <x v="1"/>
    <n v="3"/>
    <s v="Single"/>
    <n v="2058"/>
    <n v="19757"/>
    <n v="0"/>
    <s v="Y"/>
    <x v="1"/>
    <n v="14"/>
    <n v="3"/>
    <n v="4"/>
    <n v="80"/>
    <n v="0"/>
    <n v="7"/>
    <n v="1"/>
    <n v="2"/>
    <x v="0"/>
    <n v="2"/>
    <n v="1"/>
    <n v="5"/>
  </r>
  <r>
    <n v="45"/>
    <x v="1"/>
    <s v="Non-Travel"/>
    <n v="1052"/>
    <x v="0"/>
    <x v="16"/>
    <n v="3"/>
    <s v="Medical"/>
    <n v="1"/>
    <n v="302"/>
    <n v="4"/>
    <x v="0"/>
    <n v="57"/>
    <n v="2"/>
    <x v="2"/>
    <x v="0"/>
    <n v="4"/>
    <s v="Single"/>
    <n v="8865"/>
    <n v="16840"/>
    <n v="6"/>
    <s v="Y"/>
    <x v="1"/>
    <n v="12"/>
    <n v="3"/>
    <n v="4"/>
    <n v="80"/>
    <n v="0"/>
    <n v="23"/>
    <n v="2"/>
    <n v="3"/>
    <x v="27"/>
    <n v="7"/>
    <n v="12"/>
    <n v="8"/>
  </r>
  <r>
    <n v="54"/>
    <x v="1"/>
    <s v="Travel_Rarely"/>
    <n v="1147"/>
    <x v="0"/>
    <x v="3"/>
    <n v="3"/>
    <s v="Marketing"/>
    <n v="1"/>
    <n v="303"/>
    <n v="4"/>
    <x v="0"/>
    <n v="52"/>
    <n v="3"/>
    <x v="0"/>
    <x v="0"/>
    <n v="1"/>
    <s v="Married"/>
    <n v="5940"/>
    <n v="17011"/>
    <n v="2"/>
    <s v="Y"/>
    <x v="1"/>
    <n v="14"/>
    <n v="3"/>
    <n v="4"/>
    <n v="80"/>
    <n v="1"/>
    <n v="16"/>
    <n v="4"/>
    <n v="3"/>
    <x v="0"/>
    <n v="2"/>
    <n v="0"/>
    <n v="5"/>
  </r>
  <r>
    <n v="36"/>
    <x v="1"/>
    <s v="Travel_Rarely"/>
    <n v="1396"/>
    <x v="1"/>
    <x v="12"/>
    <n v="2"/>
    <s v="Life Sciences"/>
    <n v="1"/>
    <n v="304"/>
    <n v="4"/>
    <x v="1"/>
    <n v="62"/>
    <n v="3"/>
    <x v="0"/>
    <x v="2"/>
    <n v="2"/>
    <s v="Single"/>
    <n v="5914"/>
    <n v="9945"/>
    <n v="8"/>
    <s v="Y"/>
    <x v="1"/>
    <n v="16"/>
    <n v="3"/>
    <n v="4"/>
    <n v="80"/>
    <n v="0"/>
    <n v="16"/>
    <n v="3"/>
    <n v="4"/>
    <x v="20"/>
    <n v="11"/>
    <n v="3"/>
    <n v="7"/>
  </r>
  <r>
    <n v="33"/>
    <x v="1"/>
    <s v="Travel_Rarely"/>
    <n v="147"/>
    <x v="1"/>
    <x v="18"/>
    <n v="4"/>
    <s v="Medical"/>
    <n v="1"/>
    <n v="305"/>
    <n v="3"/>
    <x v="0"/>
    <n v="47"/>
    <n v="2"/>
    <x v="1"/>
    <x v="1"/>
    <n v="2"/>
    <s v="Married"/>
    <n v="2622"/>
    <n v="13248"/>
    <n v="6"/>
    <s v="Y"/>
    <x v="1"/>
    <n v="21"/>
    <n v="4"/>
    <n v="4"/>
    <n v="80"/>
    <n v="0"/>
    <n v="7"/>
    <n v="3"/>
    <n v="3"/>
    <x v="11"/>
    <n v="2"/>
    <n v="1"/>
    <n v="1"/>
  </r>
  <r>
    <n v="37"/>
    <x v="1"/>
    <s v="Travel_Frequently"/>
    <n v="663"/>
    <x v="1"/>
    <x v="13"/>
    <n v="3"/>
    <s v="Other"/>
    <n v="1"/>
    <n v="306"/>
    <n v="2"/>
    <x v="1"/>
    <n v="47"/>
    <n v="3"/>
    <x v="2"/>
    <x v="7"/>
    <n v="4"/>
    <s v="Divorced"/>
    <n v="12185"/>
    <n v="10056"/>
    <n v="1"/>
    <s v="Y"/>
    <x v="0"/>
    <n v="14"/>
    <n v="3"/>
    <n v="3"/>
    <n v="80"/>
    <n v="3"/>
    <n v="10"/>
    <n v="1"/>
    <n v="3"/>
    <x v="1"/>
    <n v="8"/>
    <n v="0"/>
    <n v="7"/>
  </r>
  <r>
    <n v="38"/>
    <x v="1"/>
    <s v="Travel_Rarely"/>
    <n v="119"/>
    <x v="0"/>
    <x v="3"/>
    <n v="3"/>
    <s v="Life Sciences"/>
    <n v="1"/>
    <n v="307"/>
    <n v="1"/>
    <x v="1"/>
    <n v="76"/>
    <n v="3"/>
    <x v="2"/>
    <x v="0"/>
    <n v="3"/>
    <s v="Divorced"/>
    <n v="10609"/>
    <n v="9647"/>
    <n v="0"/>
    <s v="Y"/>
    <x v="1"/>
    <n v="12"/>
    <n v="3"/>
    <n v="3"/>
    <n v="80"/>
    <n v="2"/>
    <n v="17"/>
    <n v="6"/>
    <n v="2"/>
    <x v="22"/>
    <n v="10"/>
    <n v="5"/>
    <n v="13"/>
  </r>
  <r>
    <n v="31"/>
    <x v="1"/>
    <s v="Non-Travel"/>
    <n v="979"/>
    <x v="1"/>
    <x v="0"/>
    <n v="4"/>
    <s v="Medical"/>
    <n v="1"/>
    <n v="308"/>
    <n v="3"/>
    <x v="1"/>
    <n v="90"/>
    <n v="1"/>
    <x v="0"/>
    <x v="3"/>
    <n v="3"/>
    <s v="Married"/>
    <n v="4345"/>
    <n v="4381"/>
    <n v="0"/>
    <s v="Y"/>
    <x v="1"/>
    <n v="12"/>
    <n v="3"/>
    <n v="4"/>
    <n v="80"/>
    <n v="1"/>
    <n v="6"/>
    <n v="2"/>
    <n v="3"/>
    <x v="8"/>
    <n v="4"/>
    <n v="1"/>
    <n v="4"/>
  </r>
  <r>
    <n v="59"/>
    <x v="1"/>
    <s v="Travel_Rarely"/>
    <n v="142"/>
    <x v="1"/>
    <x v="3"/>
    <n v="3"/>
    <s v="Life Sciences"/>
    <n v="1"/>
    <n v="309"/>
    <n v="3"/>
    <x v="1"/>
    <n v="70"/>
    <n v="2"/>
    <x v="1"/>
    <x v="1"/>
    <n v="4"/>
    <s v="Married"/>
    <n v="2177"/>
    <n v="8456"/>
    <n v="3"/>
    <s v="Y"/>
    <x v="1"/>
    <n v="17"/>
    <n v="3"/>
    <n v="1"/>
    <n v="80"/>
    <n v="1"/>
    <n v="7"/>
    <n v="6"/>
    <n v="3"/>
    <x v="6"/>
    <n v="0"/>
    <n v="0"/>
    <n v="0"/>
  </r>
  <r>
    <n v="37"/>
    <x v="1"/>
    <s v="Travel_Frequently"/>
    <n v="319"/>
    <x v="0"/>
    <x v="18"/>
    <n v="4"/>
    <s v="Marketing"/>
    <n v="1"/>
    <n v="311"/>
    <n v="1"/>
    <x v="1"/>
    <n v="41"/>
    <n v="3"/>
    <x v="1"/>
    <x v="6"/>
    <n v="4"/>
    <s v="Divorced"/>
    <n v="2793"/>
    <n v="2539"/>
    <n v="4"/>
    <s v="Y"/>
    <x v="1"/>
    <n v="17"/>
    <n v="3"/>
    <n v="3"/>
    <n v="80"/>
    <n v="1"/>
    <n v="13"/>
    <n v="2"/>
    <n v="3"/>
    <x v="7"/>
    <n v="8"/>
    <n v="5"/>
    <n v="8"/>
  </r>
  <r>
    <n v="29"/>
    <x v="1"/>
    <s v="Travel_Frequently"/>
    <n v="1413"/>
    <x v="0"/>
    <x v="0"/>
    <n v="1"/>
    <s v="Medical"/>
    <n v="1"/>
    <n v="312"/>
    <n v="2"/>
    <x v="0"/>
    <n v="42"/>
    <n v="3"/>
    <x v="2"/>
    <x v="0"/>
    <n v="4"/>
    <s v="Married"/>
    <n v="7918"/>
    <n v="6599"/>
    <n v="1"/>
    <s v="Y"/>
    <x v="1"/>
    <n v="14"/>
    <n v="3"/>
    <n v="4"/>
    <n v="80"/>
    <n v="1"/>
    <n v="11"/>
    <n v="5"/>
    <n v="3"/>
    <x v="19"/>
    <n v="10"/>
    <n v="4"/>
    <n v="1"/>
  </r>
  <r>
    <n v="35"/>
    <x v="1"/>
    <s v="Travel_Frequently"/>
    <n v="944"/>
    <x v="0"/>
    <x v="0"/>
    <n v="3"/>
    <s v="Marketing"/>
    <n v="1"/>
    <n v="314"/>
    <n v="3"/>
    <x v="0"/>
    <n v="92"/>
    <n v="3"/>
    <x v="2"/>
    <x v="0"/>
    <n v="3"/>
    <s v="Single"/>
    <n v="8789"/>
    <n v="9096"/>
    <n v="1"/>
    <s v="Y"/>
    <x v="1"/>
    <n v="14"/>
    <n v="3"/>
    <n v="1"/>
    <n v="80"/>
    <n v="0"/>
    <n v="10"/>
    <n v="3"/>
    <n v="4"/>
    <x v="1"/>
    <n v="7"/>
    <n v="0"/>
    <n v="8"/>
  </r>
  <r>
    <n v="29"/>
    <x v="0"/>
    <s v="Travel_Rarely"/>
    <n v="896"/>
    <x v="1"/>
    <x v="21"/>
    <n v="1"/>
    <s v="Medical"/>
    <n v="1"/>
    <n v="315"/>
    <n v="3"/>
    <x v="1"/>
    <n v="86"/>
    <n v="2"/>
    <x v="1"/>
    <x v="1"/>
    <n v="4"/>
    <s v="Single"/>
    <n v="2389"/>
    <n v="14961"/>
    <n v="1"/>
    <s v="Y"/>
    <x v="0"/>
    <n v="13"/>
    <n v="3"/>
    <n v="3"/>
    <n v="80"/>
    <n v="0"/>
    <n v="4"/>
    <n v="3"/>
    <n v="2"/>
    <x v="9"/>
    <n v="3"/>
    <n v="0"/>
    <n v="1"/>
  </r>
  <r>
    <n v="52"/>
    <x v="1"/>
    <s v="Travel_Rarely"/>
    <n v="1323"/>
    <x v="1"/>
    <x v="2"/>
    <n v="3"/>
    <s v="Life Sciences"/>
    <n v="1"/>
    <n v="316"/>
    <n v="3"/>
    <x v="0"/>
    <n v="89"/>
    <n v="2"/>
    <x v="1"/>
    <x v="2"/>
    <n v="4"/>
    <s v="Single"/>
    <n v="3212"/>
    <n v="3300"/>
    <n v="7"/>
    <s v="Y"/>
    <x v="1"/>
    <n v="15"/>
    <n v="3"/>
    <n v="2"/>
    <n v="80"/>
    <n v="0"/>
    <n v="6"/>
    <n v="3"/>
    <n v="2"/>
    <x v="4"/>
    <n v="2"/>
    <n v="2"/>
    <n v="2"/>
  </r>
  <r>
    <n v="42"/>
    <x v="1"/>
    <s v="Travel_Rarely"/>
    <n v="532"/>
    <x v="1"/>
    <x v="18"/>
    <n v="2"/>
    <s v="Technical Degree"/>
    <n v="1"/>
    <n v="319"/>
    <n v="3"/>
    <x v="1"/>
    <n v="58"/>
    <n v="3"/>
    <x v="4"/>
    <x v="5"/>
    <n v="4"/>
    <s v="Married"/>
    <n v="19232"/>
    <n v="4933"/>
    <n v="1"/>
    <s v="Y"/>
    <x v="1"/>
    <n v="11"/>
    <n v="3"/>
    <n v="4"/>
    <n v="80"/>
    <n v="0"/>
    <n v="22"/>
    <n v="3"/>
    <n v="3"/>
    <x v="14"/>
    <n v="17"/>
    <n v="11"/>
    <n v="15"/>
  </r>
  <r>
    <n v="59"/>
    <x v="1"/>
    <s v="Travel_Rarely"/>
    <n v="818"/>
    <x v="2"/>
    <x v="16"/>
    <n v="2"/>
    <s v="Medical"/>
    <n v="1"/>
    <n v="321"/>
    <n v="2"/>
    <x v="1"/>
    <n v="52"/>
    <n v="3"/>
    <x v="1"/>
    <x v="8"/>
    <n v="3"/>
    <s v="Married"/>
    <n v="2267"/>
    <n v="25657"/>
    <n v="8"/>
    <s v="Y"/>
    <x v="1"/>
    <n v="17"/>
    <n v="3"/>
    <n v="4"/>
    <n v="80"/>
    <n v="0"/>
    <n v="7"/>
    <n v="2"/>
    <n v="2"/>
    <x v="4"/>
    <n v="2"/>
    <n v="2"/>
    <n v="2"/>
  </r>
  <r>
    <n v="50"/>
    <x v="1"/>
    <s v="Travel_Rarely"/>
    <n v="854"/>
    <x v="0"/>
    <x v="0"/>
    <n v="4"/>
    <s v="Medical"/>
    <n v="1"/>
    <n v="323"/>
    <n v="4"/>
    <x v="0"/>
    <n v="68"/>
    <n v="3"/>
    <x v="4"/>
    <x v="5"/>
    <n v="4"/>
    <s v="Divorced"/>
    <n v="19517"/>
    <n v="24118"/>
    <n v="3"/>
    <s v="Y"/>
    <x v="1"/>
    <n v="11"/>
    <n v="3"/>
    <n v="3"/>
    <n v="80"/>
    <n v="1"/>
    <n v="32"/>
    <n v="3"/>
    <n v="2"/>
    <x v="5"/>
    <n v="0"/>
    <n v="0"/>
    <n v="6"/>
  </r>
  <r>
    <n v="33"/>
    <x v="0"/>
    <s v="Travel_Rarely"/>
    <n v="813"/>
    <x v="1"/>
    <x v="24"/>
    <n v="3"/>
    <s v="Medical"/>
    <n v="1"/>
    <n v="325"/>
    <n v="3"/>
    <x v="1"/>
    <n v="58"/>
    <n v="3"/>
    <x v="1"/>
    <x v="2"/>
    <n v="4"/>
    <s v="Married"/>
    <n v="2436"/>
    <n v="22149"/>
    <n v="5"/>
    <s v="Y"/>
    <x v="0"/>
    <n v="13"/>
    <n v="3"/>
    <n v="3"/>
    <n v="80"/>
    <n v="1"/>
    <n v="8"/>
    <n v="2"/>
    <n v="1"/>
    <x v="8"/>
    <n v="4"/>
    <n v="0"/>
    <n v="4"/>
  </r>
  <r>
    <n v="43"/>
    <x v="1"/>
    <s v="Travel_Rarely"/>
    <n v="1034"/>
    <x v="0"/>
    <x v="7"/>
    <n v="3"/>
    <s v="Marketing"/>
    <n v="1"/>
    <n v="327"/>
    <n v="4"/>
    <x v="0"/>
    <n v="80"/>
    <n v="3"/>
    <x v="3"/>
    <x v="5"/>
    <n v="4"/>
    <s v="Married"/>
    <n v="16064"/>
    <n v="7744"/>
    <n v="5"/>
    <s v="Y"/>
    <x v="0"/>
    <n v="22"/>
    <n v="4"/>
    <n v="3"/>
    <n v="80"/>
    <n v="1"/>
    <n v="22"/>
    <n v="3"/>
    <n v="3"/>
    <x v="18"/>
    <n v="13"/>
    <n v="1"/>
    <n v="9"/>
  </r>
  <r>
    <n v="33"/>
    <x v="0"/>
    <s v="Travel_Rarely"/>
    <n v="465"/>
    <x v="1"/>
    <x v="2"/>
    <n v="2"/>
    <s v="Life Sciences"/>
    <n v="1"/>
    <n v="328"/>
    <n v="1"/>
    <x v="0"/>
    <n v="39"/>
    <n v="3"/>
    <x v="1"/>
    <x v="2"/>
    <n v="1"/>
    <s v="Married"/>
    <n v="2707"/>
    <n v="21509"/>
    <n v="7"/>
    <s v="Y"/>
    <x v="1"/>
    <n v="20"/>
    <n v="4"/>
    <n v="1"/>
    <n v="80"/>
    <n v="0"/>
    <n v="13"/>
    <n v="3"/>
    <n v="4"/>
    <x v="7"/>
    <n v="7"/>
    <n v="1"/>
    <n v="7"/>
  </r>
  <r>
    <n v="52"/>
    <x v="1"/>
    <s v="Non-Travel"/>
    <n v="771"/>
    <x v="0"/>
    <x v="2"/>
    <n v="4"/>
    <s v="Life Sciences"/>
    <n v="1"/>
    <n v="329"/>
    <n v="1"/>
    <x v="1"/>
    <n v="79"/>
    <n v="2"/>
    <x v="4"/>
    <x v="5"/>
    <n v="3"/>
    <s v="Single"/>
    <n v="19068"/>
    <n v="21030"/>
    <n v="1"/>
    <s v="Y"/>
    <x v="0"/>
    <n v="18"/>
    <n v="3"/>
    <n v="4"/>
    <n v="80"/>
    <n v="0"/>
    <n v="33"/>
    <n v="2"/>
    <n v="4"/>
    <x v="26"/>
    <n v="7"/>
    <n v="15"/>
    <n v="12"/>
  </r>
  <r>
    <n v="32"/>
    <x v="1"/>
    <s v="Travel_Rarely"/>
    <n v="1401"/>
    <x v="0"/>
    <x v="18"/>
    <n v="2"/>
    <s v="Life Sciences"/>
    <n v="1"/>
    <n v="330"/>
    <n v="3"/>
    <x v="0"/>
    <n v="56"/>
    <n v="3"/>
    <x v="1"/>
    <x v="6"/>
    <n v="2"/>
    <s v="Married"/>
    <n v="3931"/>
    <n v="20990"/>
    <n v="2"/>
    <s v="Y"/>
    <x v="1"/>
    <n v="11"/>
    <n v="3"/>
    <n v="1"/>
    <n v="80"/>
    <n v="1"/>
    <n v="6"/>
    <n v="5"/>
    <n v="3"/>
    <x v="9"/>
    <n v="3"/>
    <n v="1"/>
    <n v="2"/>
  </r>
  <r>
    <n v="32"/>
    <x v="0"/>
    <s v="Travel_Rarely"/>
    <n v="515"/>
    <x v="1"/>
    <x v="0"/>
    <n v="3"/>
    <s v="Life Sciences"/>
    <n v="1"/>
    <n v="331"/>
    <n v="4"/>
    <x v="1"/>
    <n v="62"/>
    <n v="2"/>
    <x v="1"/>
    <x v="2"/>
    <n v="3"/>
    <s v="Single"/>
    <n v="3730"/>
    <n v="9571"/>
    <n v="0"/>
    <s v="Y"/>
    <x v="0"/>
    <n v="14"/>
    <n v="3"/>
    <n v="4"/>
    <n v="80"/>
    <n v="0"/>
    <n v="4"/>
    <n v="2"/>
    <n v="1"/>
    <x v="11"/>
    <n v="2"/>
    <n v="1"/>
    <n v="2"/>
  </r>
  <r>
    <n v="39"/>
    <x v="1"/>
    <s v="Travel_Rarely"/>
    <n v="1431"/>
    <x v="1"/>
    <x v="0"/>
    <n v="4"/>
    <s v="Medical"/>
    <n v="1"/>
    <n v="332"/>
    <n v="3"/>
    <x v="0"/>
    <n v="96"/>
    <n v="3"/>
    <x v="1"/>
    <x v="2"/>
    <n v="3"/>
    <s v="Divorced"/>
    <n v="2232"/>
    <n v="15417"/>
    <n v="7"/>
    <s v="Y"/>
    <x v="1"/>
    <n v="14"/>
    <n v="3"/>
    <n v="3"/>
    <n v="80"/>
    <n v="3"/>
    <n v="7"/>
    <n v="1"/>
    <n v="3"/>
    <x v="11"/>
    <n v="2"/>
    <n v="1"/>
    <n v="2"/>
  </r>
  <r>
    <n v="32"/>
    <x v="1"/>
    <s v="Non-Travel"/>
    <n v="976"/>
    <x v="0"/>
    <x v="9"/>
    <n v="4"/>
    <s v="Marketing"/>
    <n v="1"/>
    <n v="333"/>
    <n v="3"/>
    <x v="1"/>
    <n v="100"/>
    <n v="3"/>
    <x v="0"/>
    <x v="0"/>
    <n v="4"/>
    <s v="Married"/>
    <n v="4465"/>
    <n v="12069"/>
    <n v="0"/>
    <s v="Y"/>
    <x v="1"/>
    <n v="18"/>
    <n v="3"/>
    <n v="1"/>
    <n v="80"/>
    <n v="0"/>
    <n v="4"/>
    <n v="2"/>
    <n v="3"/>
    <x v="11"/>
    <n v="2"/>
    <n v="2"/>
    <n v="2"/>
  </r>
  <r>
    <n v="41"/>
    <x v="1"/>
    <s v="Travel_Rarely"/>
    <n v="1411"/>
    <x v="1"/>
    <x v="10"/>
    <n v="2"/>
    <s v="Life Sciences"/>
    <n v="1"/>
    <n v="334"/>
    <n v="3"/>
    <x v="1"/>
    <n v="36"/>
    <n v="3"/>
    <x v="0"/>
    <x v="1"/>
    <n v="1"/>
    <s v="Divorced"/>
    <n v="3072"/>
    <n v="19877"/>
    <n v="2"/>
    <s v="Y"/>
    <x v="1"/>
    <n v="16"/>
    <n v="3"/>
    <n v="1"/>
    <n v="80"/>
    <n v="2"/>
    <n v="17"/>
    <n v="2"/>
    <n v="2"/>
    <x v="6"/>
    <n v="0"/>
    <n v="0"/>
    <n v="0"/>
  </r>
  <r>
    <n v="40"/>
    <x v="1"/>
    <s v="Travel_Rarely"/>
    <n v="1300"/>
    <x v="1"/>
    <x v="4"/>
    <n v="2"/>
    <s v="Technical Degree"/>
    <n v="1"/>
    <n v="335"/>
    <n v="1"/>
    <x v="1"/>
    <n v="62"/>
    <n v="3"/>
    <x v="0"/>
    <x v="1"/>
    <n v="4"/>
    <s v="Divorced"/>
    <n v="3319"/>
    <n v="24447"/>
    <n v="1"/>
    <s v="Y"/>
    <x v="1"/>
    <n v="17"/>
    <n v="3"/>
    <n v="1"/>
    <n v="80"/>
    <n v="2"/>
    <n v="9"/>
    <n v="3"/>
    <n v="3"/>
    <x v="7"/>
    <n v="8"/>
    <n v="4"/>
    <n v="7"/>
  </r>
  <r>
    <n v="45"/>
    <x v="1"/>
    <s v="Travel_Rarely"/>
    <n v="252"/>
    <x v="1"/>
    <x v="0"/>
    <n v="3"/>
    <s v="Other"/>
    <n v="1"/>
    <n v="336"/>
    <n v="3"/>
    <x v="1"/>
    <n v="70"/>
    <n v="4"/>
    <x v="4"/>
    <x v="5"/>
    <n v="4"/>
    <s v="Married"/>
    <n v="19202"/>
    <n v="15970"/>
    <n v="0"/>
    <s v="Y"/>
    <x v="1"/>
    <n v="11"/>
    <n v="3"/>
    <n v="3"/>
    <n v="80"/>
    <n v="1"/>
    <n v="25"/>
    <n v="2"/>
    <n v="3"/>
    <x v="25"/>
    <n v="0"/>
    <n v="1"/>
    <n v="7"/>
  </r>
  <r>
    <n v="31"/>
    <x v="1"/>
    <s v="Travel_Frequently"/>
    <n v="1327"/>
    <x v="1"/>
    <x v="3"/>
    <n v="4"/>
    <s v="Medical"/>
    <n v="1"/>
    <n v="337"/>
    <n v="2"/>
    <x v="1"/>
    <n v="73"/>
    <n v="3"/>
    <x v="2"/>
    <x v="7"/>
    <n v="3"/>
    <s v="Divorced"/>
    <n v="13675"/>
    <n v="13523"/>
    <n v="9"/>
    <s v="Y"/>
    <x v="1"/>
    <n v="12"/>
    <n v="3"/>
    <n v="1"/>
    <n v="80"/>
    <n v="1"/>
    <n v="9"/>
    <n v="3"/>
    <n v="3"/>
    <x v="4"/>
    <n v="2"/>
    <n v="2"/>
    <n v="2"/>
  </r>
  <r>
    <n v="33"/>
    <x v="1"/>
    <s v="Travel_Rarely"/>
    <n v="832"/>
    <x v="1"/>
    <x v="12"/>
    <n v="4"/>
    <s v="Life Sciences"/>
    <n v="1"/>
    <n v="338"/>
    <n v="3"/>
    <x v="0"/>
    <n v="63"/>
    <n v="2"/>
    <x v="1"/>
    <x v="1"/>
    <n v="4"/>
    <s v="Married"/>
    <n v="2911"/>
    <n v="14776"/>
    <n v="1"/>
    <s v="Y"/>
    <x v="1"/>
    <n v="13"/>
    <n v="3"/>
    <n v="3"/>
    <n v="80"/>
    <n v="1"/>
    <n v="2"/>
    <n v="2"/>
    <n v="2"/>
    <x v="4"/>
    <n v="2"/>
    <n v="0"/>
    <n v="2"/>
  </r>
  <r>
    <n v="34"/>
    <x v="1"/>
    <s v="Travel_Rarely"/>
    <n v="470"/>
    <x v="1"/>
    <x v="2"/>
    <n v="4"/>
    <s v="Life Sciences"/>
    <n v="1"/>
    <n v="339"/>
    <n v="4"/>
    <x v="1"/>
    <n v="84"/>
    <n v="2"/>
    <x v="0"/>
    <x v="3"/>
    <n v="1"/>
    <s v="Married"/>
    <n v="5957"/>
    <n v="23687"/>
    <n v="6"/>
    <s v="Y"/>
    <x v="1"/>
    <n v="13"/>
    <n v="3"/>
    <n v="2"/>
    <n v="80"/>
    <n v="1"/>
    <n v="13"/>
    <n v="3"/>
    <n v="3"/>
    <x v="19"/>
    <n v="9"/>
    <n v="5"/>
    <n v="9"/>
  </r>
  <r>
    <n v="37"/>
    <x v="1"/>
    <s v="Travel_Rarely"/>
    <n v="1017"/>
    <x v="1"/>
    <x v="0"/>
    <n v="2"/>
    <s v="Medical"/>
    <n v="1"/>
    <n v="340"/>
    <n v="3"/>
    <x v="0"/>
    <n v="83"/>
    <n v="2"/>
    <x v="1"/>
    <x v="1"/>
    <n v="1"/>
    <s v="Married"/>
    <n v="3920"/>
    <n v="18697"/>
    <n v="2"/>
    <s v="Y"/>
    <x v="1"/>
    <n v="14"/>
    <n v="3"/>
    <n v="1"/>
    <n v="80"/>
    <n v="1"/>
    <n v="17"/>
    <n v="2"/>
    <n v="2"/>
    <x v="11"/>
    <n v="1"/>
    <n v="0"/>
    <n v="2"/>
  </r>
  <r>
    <n v="45"/>
    <x v="1"/>
    <s v="Travel_Frequently"/>
    <n v="1199"/>
    <x v="1"/>
    <x v="15"/>
    <n v="4"/>
    <s v="Life Sciences"/>
    <n v="1"/>
    <n v="341"/>
    <n v="1"/>
    <x v="1"/>
    <n v="77"/>
    <n v="4"/>
    <x v="0"/>
    <x v="3"/>
    <n v="3"/>
    <s v="Married"/>
    <n v="6434"/>
    <n v="5118"/>
    <n v="4"/>
    <s v="Y"/>
    <x v="1"/>
    <n v="17"/>
    <n v="3"/>
    <n v="4"/>
    <n v="80"/>
    <n v="1"/>
    <n v="9"/>
    <n v="1"/>
    <n v="3"/>
    <x v="11"/>
    <n v="2"/>
    <n v="0"/>
    <n v="2"/>
  </r>
  <r>
    <n v="37"/>
    <x v="0"/>
    <s v="Travel_Frequently"/>
    <n v="504"/>
    <x v="1"/>
    <x v="17"/>
    <n v="3"/>
    <s v="Medical"/>
    <n v="1"/>
    <n v="342"/>
    <n v="1"/>
    <x v="1"/>
    <n v="61"/>
    <n v="3"/>
    <x v="2"/>
    <x v="3"/>
    <n v="3"/>
    <s v="Divorced"/>
    <n v="10048"/>
    <n v="22573"/>
    <n v="6"/>
    <s v="Y"/>
    <x v="1"/>
    <n v="11"/>
    <n v="3"/>
    <n v="2"/>
    <n v="80"/>
    <n v="2"/>
    <n v="17"/>
    <n v="5"/>
    <n v="3"/>
    <x v="6"/>
    <n v="0"/>
    <n v="0"/>
    <n v="0"/>
  </r>
  <r>
    <n v="39"/>
    <x v="1"/>
    <s v="Travel_Frequently"/>
    <n v="505"/>
    <x v="1"/>
    <x v="2"/>
    <n v="4"/>
    <s v="Technical Degree"/>
    <n v="1"/>
    <n v="343"/>
    <n v="3"/>
    <x v="0"/>
    <n v="64"/>
    <n v="3"/>
    <x v="2"/>
    <x v="4"/>
    <n v="3"/>
    <s v="Single"/>
    <n v="10938"/>
    <n v="6420"/>
    <n v="0"/>
    <s v="Y"/>
    <x v="1"/>
    <n v="25"/>
    <n v="4"/>
    <n v="4"/>
    <n v="80"/>
    <n v="0"/>
    <n v="20"/>
    <n v="1"/>
    <n v="3"/>
    <x v="27"/>
    <n v="6"/>
    <n v="11"/>
    <n v="8"/>
  </r>
  <r>
    <n v="29"/>
    <x v="1"/>
    <s v="Travel_Rarely"/>
    <n v="665"/>
    <x v="1"/>
    <x v="8"/>
    <n v="3"/>
    <s v="Life Sciences"/>
    <n v="1"/>
    <n v="346"/>
    <n v="3"/>
    <x v="1"/>
    <n v="60"/>
    <n v="3"/>
    <x v="1"/>
    <x v="1"/>
    <n v="4"/>
    <s v="Single"/>
    <n v="2340"/>
    <n v="22673"/>
    <n v="1"/>
    <s v="Y"/>
    <x v="1"/>
    <n v="19"/>
    <n v="3"/>
    <n v="1"/>
    <n v="80"/>
    <n v="0"/>
    <n v="6"/>
    <n v="1"/>
    <n v="3"/>
    <x v="0"/>
    <n v="5"/>
    <n v="1"/>
    <n v="5"/>
  </r>
  <r>
    <n v="42"/>
    <x v="1"/>
    <s v="Travel_Rarely"/>
    <n v="916"/>
    <x v="1"/>
    <x v="27"/>
    <n v="2"/>
    <s v="Life Sciences"/>
    <n v="1"/>
    <n v="347"/>
    <n v="4"/>
    <x v="0"/>
    <n v="82"/>
    <n v="4"/>
    <x v="0"/>
    <x v="1"/>
    <n v="1"/>
    <s v="Single"/>
    <n v="6545"/>
    <n v="23016"/>
    <n v="3"/>
    <s v="Y"/>
    <x v="0"/>
    <n v="13"/>
    <n v="3"/>
    <n v="3"/>
    <n v="80"/>
    <n v="0"/>
    <n v="10"/>
    <n v="1"/>
    <n v="3"/>
    <x v="11"/>
    <n v="2"/>
    <n v="0"/>
    <n v="2"/>
  </r>
  <r>
    <n v="29"/>
    <x v="1"/>
    <s v="Travel_Rarely"/>
    <n v="1247"/>
    <x v="0"/>
    <x v="25"/>
    <n v="2"/>
    <s v="Marketing"/>
    <n v="1"/>
    <n v="349"/>
    <n v="4"/>
    <x v="1"/>
    <n v="45"/>
    <n v="3"/>
    <x v="0"/>
    <x v="0"/>
    <n v="4"/>
    <s v="Divorced"/>
    <n v="6931"/>
    <n v="10732"/>
    <n v="2"/>
    <s v="Y"/>
    <x v="1"/>
    <n v="14"/>
    <n v="3"/>
    <n v="4"/>
    <n v="80"/>
    <n v="1"/>
    <n v="10"/>
    <n v="2"/>
    <n v="3"/>
    <x v="11"/>
    <n v="2"/>
    <n v="0"/>
    <n v="2"/>
  </r>
  <r>
    <n v="25"/>
    <x v="1"/>
    <s v="Travel_Rarely"/>
    <n v="685"/>
    <x v="1"/>
    <x v="0"/>
    <n v="3"/>
    <s v="Life Sciences"/>
    <n v="1"/>
    <n v="350"/>
    <n v="1"/>
    <x v="0"/>
    <n v="62"/>
    <n v="3"/>
    <x v="0"/>
    <x v="3"/>
    <n v="3"/>
    <s v="Married"/>
    <n v="4898"/>
    <n v="7505"/>
    <n v="0"/>
    <s v="Y"/>
    <x v="1"/>
    <n v="12"/>
    <n v="3"/>
    <n v="4"/>
    <n v="80"/>
    <n v="2"/>
    <n v="5"/>
    <n v="3"/>
    <n v="3"/>
    <x v="9"/>
    <n v="2"/>
    <n v="1"/>
    <n v="2"/>
  </r>
  <r>
    <n v="42"/>
    <x v="1"/>
    <s v="Travel_Rarely"/>
    <n v="269"/>
    <x v="1"/>
    <x v="2"/>
    <n v="3"/>
    <s v="Medical"/>
    <n v="1"/>
    <n v="351"/>
    <n v="4"/>
    <x v="0"/>
    <n v="56"/>
    <n v="2"/>
    <x v="1"/>
    <x v="2"/>
    <n v="1"/>
    <s v="Divorced"/>
    <n v="2593"/>
    <n v="8007"/>
    <n v="0"/>
    <s v="Y"/>
    <x v="0"/>
    <n v="11"/>
    <n v="3"/>
    <n v="3"/>
    <n v="80"/>
    <n v="1"/>
    <n v="10"/>
    <n v="4"/>
    <n v="3"/>
    <x v="7"/>
    <n v="6"/>
    <n v="7"/>
    <n v="8"/>
  </r>
  <r>
    <n v="40"/>
    <x v="1"/>
    <s v="Travel_Rarely"/>
    <n v="1416"/>
    <x v="1"/>
    <x v="2"/>
    <n v="2"/>
    <s v="Medical"/>
    <n v="1"/>
    <n v="352"/>
    <n v="1"/>
    <x v="1"/>
    <n v="49"/>
    <n v="3"/>
    <x v="4"/>
    <x v="7"/>
    <n v="3"/>
    <s v="Divorced"/>
    <n v="19436"/>
    <n v="5949"/>
    <n v="0"/>
    <s v="Y"/>
    <x v="1"/>
    <n v="19"/>
    <n v="3"/>
    <n v="4"/>
    <n v="80"/>
    <n v="1"/>
    <n v="22"/>
    <n v="5"/>
    <n v="3"/>
    <x v="17"/>
    <n v="7"/>
    <n v="3"/>
    <n v="9"/>
  </r>
  <r>
    <n v="51"/>
    <x v="1"/>
    <s v="Travel_Rarely"/>
    <n v="833"/>
    <x v="1"/>
    <x v="0"/>
    <n v="3"/>
    <s v="Life Sciences"/>
    <n v="1"/>
    <n v="353"/>
    <n v="3"/>
    <x v="1"/>
    <n v="96"/>
    <n v="3"/>
    <x v="1"/>
    <x v="1"/>
    <n v="4"/>
    <s v="Married"/>
    <n v="2723"/>
    <n v="23231"/>
    <n v="1"/>
    <s v="Y"/>
    <x v="1"/>
    <n v="11"/>
    <n v="3"/>
    <n v="2"/>
    <n v="80"/>
    <n v="0"/>
    <n v="1"/>
    <n v="0"/>
    <n v="2"/>
    <x v="6"/>
    <n v="0"/>
    <n v="0"/>
    <n v="0"/>
  </r>
  <r>
    <n v="31"/>
    <x v="0"/>
    <s v="Travel_Frequently"/>
    <n v="307"/>
    <x v="1"/>
    <x v="22"/>
    <n v="2"/>
    <s v="Medical"/>
    <n v="1"/>
    <n v="355"/>
    <n v="3"/>
    <x v="1"/>
    <n v="71"/>
    <n v="2"/>
    <x v="1"/>
    <x v="2"/>
    <n v="2"/>
    <s v="Single"/>
    <n v="3479"/>
    <n v="11652"/>
    <n v="0"/>
    <s v="Y"/>
    <x v="1"/>
    <n v="11"/>
    <n v="3"/>
    <n v="2"/>
    <n v="80"/>
    <n v="0"/>
    <n v="6"/>
    <n v="2"/>
    <n v="4"/>
    <x v="8"/>
    <n v="4"/>
    <n v="1"/>
    <n v="4"/>
  </r>
  <r>
    <n v="32"/>
    <x v="1"/>
    <s v="Travel_Frequently"/>
    <n v="1311"/>
    <x v="1"/>
    <x v="15"/>
    <n v="3"/>
    <s v="Life Sciences"/>
    <n v="1"/>
    <n v="359"/>
    <n v="2"/>
    <x v="1"/>
    <n v="100"/>
    <n v="4"/>
    <x v="1"/>
    <x v="2"/>
    <n v="2"/>
    <s v="Married"/>
    <n v="2794"/>
    <n v="26062"/>
    <n v="1"/>
    <s v="Y"/>
    <x v="1"/>
    <n v="20"/>
    <n v="4"/>
    <n v="3"/>
    <n v="80"/>
    <n v="0"/>
    <n v="5"/>
    <n v="3"/>
    <n v="1"/>
    <x v="8"/>
    <n v="1"/>
    <n v="0"/>
    <n v="3"/>
  </r>
  <r>
    <n v="38"/>
    <x v="1"/>
    <s v="Non-Travel"/>
    <n v="1327"/>
    <x v="0"/>
    <x v="2"/>
    <n v="2"/>
    <s v="Life Sciences"/>
    <n v="1"/>
    <n v="361"/>
    <n v="4"/>
    <x v="1"/>
    <n v="39"/>
    <n v="2"/>
    <x v="0"/>
    <x v="0"/>
    <n v="4"/>
    <s v="Married"/>
    <n v="5249"/>
    <n v="19682"/>
    <n v="3"/>
    <s v="Y"/>
    <x v="1"/>
    <n v="18"/>
    <n v="3"/>
    <n v="4"/>
    <n v="80"/>
    <n v="1"/>
    <n v="13"/>
    <n v="0"/>
    <n v="3"/>
    <x v="3"/>
    <n v="7"/>
    <n v="7"/>
    <n v="5"/>
  </r>
  <r>
    <n v="32"/>
    <x v="1"/>
    <s v="Travel_Rarely"/>
    <n v="128"/>
    <x v="1"/>
    <x v="2"/>
    <n v="1"/>
    <s v="Technical Degree"/>
    <n v="1"/>
    <n v="362"/>
    <n v="4"/>
    <x v="1"/>
    <n v="84"/>
    <n v="2"/>
    <x v="0"/>
    <x v="2"/>
    <n v="1"/>
    <s v="Single"/>
    <n v="2176"/>
    <n v="19737"/>
    <n v="4"/>
    <s v="Y"/>
    <x v="1"/>
    <n v="13"/>
    <n v="3"/>
    <n v="4"/>
    <n v="80"/>
    <n v="0"/>
    <n v="9"/>
    <n v="5"/>
    <n v="3"/>
    <x v="0"/>
    <n v="2"/>
    <n v="0"/>
    <n v="4"/>
  </r>
  <r>
    <n v="46"/>
    <x v="1"/>
    <s v="Travel_Rarely"/>
    <n v="488"/>
    <x v="0"/>
    <x v="2"/>
    <n v="3"/>
    <s v="Technical Degree"/>
    <n v="1"/>
    <n v="363"/>
    <n v="3"/>
    <x v="0"/>
    <n v="75"/>
    <n v="1"/>
    <x v="3"/>
    <x v="5"/>
    <n v="2"/>
    <s v="Married"/>
    <n v="16872"/>
    <n v="14977"/>
    <n v="3"/>
    <s v="Y"/>
    <x v="0"/>
    <n v="12"/>
    <n v="3"/>
    <n v="2"/>
    <n v="80"/>
    <n v="1"/>
    <n v="28"/>
    <n v="2"/>
    <n v="2"/>
    <x v="5"/>
    <n v="7"/>
    <n v="7"/>
    <n v="7"/>
  </r>
  <r>
    <n v="28"/>
    <x v="0"/>
    <s v="Travel_Rarely"/>
    <n v="529"/>
    <x v="1"/>
    <x v="2"/>
    <n v="4"/>
    <s v="Life Sciences"/>
    <n v="1"/>
    <n v="364"/>
    <n v="1"/>
    <x v="1"/>
    <n v="79"/>
    <n v="3"/>
    <x v="1"/>
    <x v="2"/>
    <n v="3"/>
    <s v="Single"/>
    <n v="3485"/>
    <n v="14935"/>
    <n v="2"/>
    <s v="Y"/>
    <x v="1"/>
    <n v="11"/>
    <n v="3"/>
    <n v="3"/>
    <n v="80"/>
    <n v="0"/>
    <n v="5"/>
    <n v="5"/>
    <n v="1"/>
    <x v="2"/>
    <n v="0"/>
    <n v="0"/>
    <n v="0"/>
  </r>
  <r>
    <n v="29"/>
    <x v="1"/>
    <s v="Travel_Rarely"/>
    <n v="1210"/>
    <x v="0"/>
    <x v="2"/>
    <n v="3"/>
    <s v="Medical"/>
    <n v="1"/>
    <n v="366"/>
    <n v="1"/>
    <x v="1"/>
    <n v="78"/>
    <n v="2"/>
    <x v="0"/>
    <x v="0"/>
    <n v="2"/>
    <s v="Married"/>
    <n v="6644"/>
    <n v="3687"/>
    <n v="2"/>
    <s v="Y"/>
    <x v="1"/>
    <n v="19"/>
    <n v="3"/>
    <n v="2"/>
    <n v="80"/>
    <n v="2"/>
    <n v="10"/>
    <n v="2"/>
    <n v="3"/>
    <x v="2"/>
    <n v="0"/>
    <n v="0"/>
    <n v="0"/>
  </r>
  <r>
    <n v="31"/>
    <x v="1"/>
    <s v="Travel_Rarely"/>
    <n v="1463"/>
    <x v="1"/>
    <x v="5"/>
    <n v="3"/>
    <s v="Medical"/>
    <n v="1"/>
    <n v="367"/>
    <n v="2"/>
    <x v="1"/>
    <n v="64"/>
    <n v="2"/>
    <x v="0"/>
    <x v="4"/>
    <n v="4"/>
    <s v="Married"/>
    <n v="5582"/>
    <n v="14408"/>
    <n v="0"/>
    <s v="Y"/>
    <x v="1"/>
    <n v="21"/>
    <n v="4"/>
    <n v="2"/>
    <n v="80"/>
    <n v="1"/>
    <n v="10"/>
    <n v="2"/>
    <n v="3"/>
    <x v="7"/>
    <n v="0"/>
    <n v="7"/>
    <n v="8"/>
  </r>
  <r>
    <n v="25"/>
    <x v="1"/>
    <s v="Non-Travel"/>
    <n v="675"/>
    <x v="1"/>
    <x v="12"/>
    <n v="2"/>
    <s v="Life Sciences"/>
    <n v="1"/>
    <n v="369"/>
    <n v="2"/>
    <x v="1"/>
    <n v="85"/>
    <n v="4"/>
    <x v="0"/>
    <x v="4"/>
    <n v="1"/>
    <s v="Divorced"/>
    <n v="4000"/>
    <n v="18384"/>
    <n v="1"/>
    <s v="Y"/>
    <x v="1"/>
    <n v="12"/>
    <n v="3"/>
    <n v="4"/>
    <n v="80"/>
    <n v="2"/>
    <n v="6"/>
    <n v="2"/>
    <n v="3"/>
    <x v="0"/>
    <n v="3"/>
    <n v="1"/>
    <n v="5"/>
  </r>
  <r>
    <n v="45"/>
    <x v="1"/>
    <s v="Travel_Rarely"/>
    <n v="1385"/>
    <x v="1"/>
    <x v="25"/>
    <n v="2"/>
    <s v="Medical"/>
    <n v="1"/>
    <n v="372"/>
    <n v="3"/>
    <x v="1"/>
    <n v="79"/>
    <n v="3"/>
    <x v="3"/>
    <x v="4"/>
    <n v="4"/>
    <s v="Married"/>
    <n v="13496"/>
    <n v="7501"/>
    <n v="0"/>
    <s v="Y"/>
    <x v="0"/>
    <n v="14"/>
    <n v="3"/>
    <n v="2"/>
    <n v="80"/>
    <n v="0"/>
    <n v="21"/>
    <n v="2"/>
    <n v="3"/>
    <x v="23"/>
    <n v="7"/>
    <n v="4"/>
    <n v="10"/>
  </r>
  <r>
    <n v="36"/>
    <x v="1"/>
    <s v="Travel_Rarely"/>
    <n v="1403"/>
    <x v="1"/>
    <x v="16"/>
    <n v="3"/>
    <s v="Life Sciences"/>
    <n v="1"/>
    <n v="373"/>
    <n v="4"/>
    <x v="1"/>
    <n v="47"/>
    <n v="3"/>
    <x v="1"/>
    <x v="2"/>
    <n v="4"/>
    <s v="Married"/>
    <n v="3210"/>
    <n v="20251"/>
    <n v="0"/>
    <s v="Y"/>
    <x v="1"/>
    <n v="11"/>
    <n v="3"/>
    <n v="3"/>
    <n v="80"/>
    <n v="1"/>
    <n v="16"/>
    <n v="4"/>
    <n v="3"/>
    <x v="15"/>
    <n v="13"/>
    <n v="10"/>
    <n v="11"/>
  </r>
  <r>
    <n v="55"/>
    <x v="1"/>
    <s v="Travel_Rarely"/>
    <n v="452"/>
    <x v="1"/>
    <x v="0"/>
    <n v="3"/>
    <s v="Medical"/>
    <n v="1"/>
    <n v="374"/>
    <n v="4"/>
    <x v="1"/>
    <n v="81"/>
    <n v="3"/>
    <x v="4"/>
    <x v="5"/>
    <n v="1"/>
    <s v="Single"/>
    <n v="19045"/>
    <n v="18938"/>
    <n v="0"/>
    <s v="Y"/>
    <x v="0"/>
    <n v="14"/>
    <n v="3"/>
    <n v="3"/>
    <n v="80"/>
    <n v="0"/>
    <n v="37"/>
    <n v="2"/>
    <n v="3"/>
    <x v="28"/>
    <n v="10"/>
    <n v="4"/>
    <n v="13"/>
  </r>
  <r>
    <n v="47"/>
    <x v="0"/>
    <s v="Non-Travel"/>
    <n v="666"/>
    <x v="1"/>
    <x v="22"/>
    <n v="4"/>
    <s v="Life Sciences"/>
    <n v="1"/>
    <n v="376"/>
    <n v="1"/>
    <x v="1"/>
    <n v="88"/>
    <n v="3"/>
    <x v="2"/>
    <x v="5"/>
    <n v="2"/>
    <s v="Married"/>
    <n v="11849"/>
    <n v="10268"/>
    <n v="1"/>
    <s v="Y"/>
    <x v="0"/>
    <n v="12"/>
    <n v="3"/>
    <n v="4"/>
    <n v="80"/>
    <n v="1"/>
    <n v="10"/>
    <n v="2"/>
    <n v="2"/>
    <x v="1"/>
    <n v="7"/>
    <n v="9"/>
    <n v="9"/>
  </r>
  <r>
    <n v="28"/>
    <x v="1"/>
    <s v="Travel_Rarely"/>
    <n v="1158"/>
    <x v="1"/>
    <x v="14"/>
    <n v="3"/>
    <s v="Medical"/>
    <n v="1"/>
    <n v="377"/>
    <n v="4"/>
    <x v="1"/>
    <n v="94"/>
    <n v="3"/>
    <x v="1"/>
    <x v="1"/>
    <n v="4"/>
    <s v="Married"/>
    <n v="2070"/>
    <n v="2613"/>
    <n v="1"/>
    <s v="Y"/>
    <x v="1"/>
    <n v="23"/>
    <n v="4"/>
    <n v="4"/>
    <n v="80"/>
    <n v="1"/>
    <n v="5"/>
    <n v="3"/>
    <n v="2"/>
    <x v="8"/>
    <n v="2"/>
    <n v="0"/>
    <n v="4"/>
  </r>
  <r>
    <n v="37"/>
    <x v="1"/>
    <s v="Travel_Rarely"/>
    <n v="228"/>
    <x v="0"/>
    <x v="16"/>
    <n v="4"/>
    <s v="Medical"/>
    <n v="1"/>
    <n v="378"/>
    <n v="3"/>
    <x v="1"/>
    <n v="98"/>
    <n v="3"/>
    <x v="0"/>
    <x v="0"/>
    <n v="4"/>
    <s v="Married"/>
    <n v="6502"/>
    <n v="22825"/>
    <n v="4"/>
    <s v="Y"/>
    <x v="1"/>
    <n v="14"/>
    <n v="3"/>
    <n v="2"/>
    <n v="80"/>
    <n v="1"/>
    <n v="7"/>
    <n v="5"/>
    <n v="4"/>
    <x v="8"/>
    <n v="4"/>
    <n v="0"/>
    <n v="1"/>
  </r>
  <r>
    <n v="21"/>
    <x v="1"/>
    <s v="Travel_Rarely"/>
    <n v="996"/>
    <x v="1"/>
    <x v="3"/>
    <n v="2"/>
    <s v="Medical"/>
    <n v="1"/>
    <n v="379"/>
    <n v="4"/>
    <x v="1"/>
    <n v="100"/>
    <n v="2"/>
    <x v="1"/>
    <x v="1"/>
    <n v="3"/>
    <s v="Single"/>
    <n v="3230"/>
    <n v="10531"/>
    <n v="1"/>
    <s v="Y"/>
    <x v="1"/>
    <n v="17"/>
    <n v="3"/>
    <n v="1"/>
    <n v="80"/>
    <n v="0"/>
    <n v="3"/>
    <n v="4"/>
    <n v="4"/>
    <x v="11"/>
    <n v="2"/>
    <n v="1"/>
    <n v="0"/>
  </r>
  <r>
    <n v="37"/>
    <x v="1"/>
    <s v="Non-Travel"/>
    <n v="728"/>
    <x v="1"/>
    <x v="0"/>
    <n v="4"/>
    <s v="Medical"/>
    <n v="1"/>
    <n v="380"/>
    <n v="1"/>
    <x v="0"/>
    <n v="80"/>
    <n v="3"/>
    <x v="2"/>
    <x v="7"/>
    <n v="4"/>
    <s v="Divorced"/>
    <n v="13603"/>
    <n v="11677"/>
    <n v="2"/>
    <s v="Y"/>
    <x v="0"/>
    <n v="18"/>
    <n v="3"/>
    <n v="1"/>
    <n v="80"/>
    <n v="2"/>
    <n v="15"/>
    <n v="2"/>
    <n v="3"/>
    <x v="8"/>
    <n v="2"/>
    <n v="0"/>
    <n v="2"/>
  </r>
  <r>
    <n v="35"/>
    <x v="1"/>
    <s v="Travel_Rarely"/>
    <n v="1315"/>
    <x v="1"/>
    <x v="23"/>
    <n v="3"/>
    <s v="Life Sciences"/>
    <n v="1"/>
    <n v="381"/>
    <n v="2"/>
    <x v="0"/>
    <n v="71"/>
    <n v="4"/>
    <x v="2"/>
    <x v="5"/>
    <n v="2"/>
    <s v="Divorced"/>
    <n v="11996"/>
    <n v="19100"/>
    <n v="7"/>
    <s v="Y"/>
    <x v="1"/>
    <n v="18"/>
    <n v="3"/>
    <n v="2"/>
    <n v="80"/>
    <n v="1"/>
    <n v="10"/>
    <n v="6"/>
    <n v="2"/>
    <x v="5"/>
    <n v="7"/>
    <n v="6"/>
    <n v="2"/>
  </r>
  <r>
    <n v="38"/>
    <x v="1"/>
    <s v="Travel_Rarely"/>
    <n v="322"/>
    <x v="0"/>
    <x v="15"/>
    <n v="2"/>
    <s v="Medical"/>
    <n v="1"/>
    <n v="382"/>
    <n v="1"/>
    <x v="0"/>
    <n v="44"/>
    <n v="4"/>
    <x v="0"/>
    <x v="0"/>
    <n v="1"/>
    <s v="Divorced"/>
    <n v="5605"/>
    <n v="19191"/>
    <n v="1"/>
    <s v="Y"/>
    <x v="0"/>
    <n v="24"/>
    <n v="4"/>
    <n v="3"/>
    <n v="80"/>
    <n v="1"/>
    <n v="8"/>
    <n v="3"/>
    <n v="3"/>
    <x v="3"/>
    <n v="0"/>
    <n v="7"/>
    <n v="7"/>
  </r>
  <r>
    <n v="26"/>
    <x v="1"/>
    <s v="Travel_Frequently"/>
    <n v="1479"/>
    <x v="1"/>
    <x v="0"/>
    <n v="3"/>
    <s v="Life Sciences"/>
    <n v="1"/>
    <n v="384"/>
    <n v="3"/>
    <x v="0"/>
    <n v="84"/>
    <n v="3"/>
    <x v="0"/>
    <x v="3"/>
    <n v="2"/>
    <s v="Divorced"/>
    <n v="6397"/>
    <n v="26767"/>
    <n v="1"/>
    <s v="Y"/>
    <x v="1"/>
    <n v="20"/>
    <n v="4"/>
    <n v="1"/>
    <n v="80"/>
    <n v="1"/>
    <n v="6"/>
    <n v="6"/>
    <n v="1"/>
    <x v="0"/>
    <n v="5"/>
    <n v="1"/>
    <n v="4"/>
  </r>
  <r>
    <n v="50"/>
    <x v="1"/>
    <s v="Travel_Rarely"/>
    <n v="797"/>
    <x v="1"/>
    <x v="18"/>
    <n v="1"/>
    <s v="Life Sciences"/>
    <n v="1"/>
    <n v="385"/>
    <n v="1"/>
    <x v="1"/>
    <n v="96"/>
    <n v="3"/>
    <x v="4"/>
    <x v="7"/>
    <n v="2"/>
    <s v="Divorced"/>
    <n v="19144"/>
    <n v="15815"/>
    <n v="3"/>
    <s v="Y"/>
    <x v="1"/>
    <n v="14"/>
    <n v="3"/>
    <n v="1"/>
    <n v="80"/>
    <n v="2"/>
    <n v="28"/>
    <n v="4"/>
    <n v="2"/>
    <x v="1"/>
    <n v="4"/>
    <n v="1"/>
    <n v="6"/>
  </r>
  <r>
    <n v="53"/>
    <x v="1"/>
    <s v="Travel_Rarely"/>
    <n v="1070"/>
    <x v="1"/>
    <x v="3"/>
    <n v="4"/>
    <s v="Medical"/>
    <n v="1"/>
    <n v="386"/>
    <n v="3"/>
    <x v="1"/>
    <n v="45"/>
    <n v="3"/>
    <x v="3"/>
    <x v="7"/>
    <n v="3"/>
    <s v="Married"/>
    <n v="17584"/>
    <n v="21016"/>
    <n v="3"/>
    <s v="Y"/>
    <x v="0"/>
    <n v="16"/>
    <n v="3"/>
    <n v="4"/>
    <n v="80"/>
    <n v="3"/>
    <n v="21"/>
    <n v="5"/>
    <n v="2"/>
    <x v="8"/>
    <n v="3"/>
    <n v="1"/>
    <n v="3"/>
  </r>
  <r>
    <n v="42"/>
    <x v="1"/>
    <s v="Travel_Rarely"/>
    <n v="635"/>
    <x v="0"/>
    <x v="0"/>
    <n v="1"/>
    <s v="Life Sciences"/>
    <n v="1"/>
    <n v="387"/>
    <n v="2"/>
    <x v="1"/>
    <n v="99"/>
    <n v="3"/>
    <x v="0"/>
    <x v="0"/>
    <n v="3"/>
    <s v="Married"/>
    <n v="4907"/>
    <n v="24532"/>
    <n v="1"/>
    <s v="Y"/>
    <x v="1"/>
    <n v="25"/>
    <n v="4"/>
    <n v="3"/>
    <n v="80"/>
    <n v="0"/>
    <n v="20"/>
    <n v="3"/>
    <n v="3"/>
    <x v="23"/>
    <n v="16"/>
    <n v="11"/>
    <n v="6"/>
  </r>
  <r>
    <n v="29"/>
    <x v="1"/>
    <s v="Travel_Frequently"/>
    <n v="442"/>
    <x v="0"/>
    <x v="2"/>
    <n v="2"/>
    <s v="Life Sciences"/>
    <n v="1"/>
    <n v="388"/>
    <n v="2"/>
    <x v="1"/>
    <n v="44"/>
    <n v="3"/>
    <x v="0"/>
    <x v="0"/>
    <n v="4"/>
    <s v="Single"/>
    <n v="4554"/>
    <n v="20260"/>
    <n v="1"/>
    <s v="Y"/>
    <x v="1"/>
    <n v="18"/>
    <n v="3"/>
    <n v="1"/>
    <n v="80"/>
    <n v="0"/>
    <n v="10"/>
    <n v="3"/>
    <n v="2"/>
    <x v="1"/>
    <n v="7"/>
    <n v="0"/>
    <n v="9"/>
  </r>
  <r>
    <n v="55"/>
    <x v="1"/>
    <s v="Travel_Rarely"/>
    <n v="147"/>
    <x v="1"/>
    <x v="25"/>
    <n v="2"/>
    <s v="Technical Degree"/>
    <n v="1"/>
    <n v="389"/>
    <n v="2"/>
    <x v="1"/>
    <n v="37"/>
    <n v="3"/>
    <x v="0"/>
    <x v="2"/>
    <n v="4"/>
    <s v="Married"/>
    <n v="5415"/>
    <n v="15972"/>
    <n v="3"/>
    <s v="Y"/>
    <x v="0"/>
    <n v="19"/>
    <n v="3"/>
    <n v="4"/>
    <n v="80"/>
    <n v="1"/>
    <n v="12"/>
    <n v="4"/>
    <n v="3"/>
    <x v="1"/>
    <n v="7"/>
    <n v="0"/>
    <n v="8"/>
  </r>
  <r>
    <n v="26"/>
    <x v="1"/>
    <s v="Travel_Frequently"/>
    <n v="496"/>
    <x v="1"/>
    <x v="13"/>
    <n v="2"/>
    <s v="Medical"/>
    <n v="1"/>
    <n v="390"/>
    <n v="1"/>
    <x v="1"/>
    <n v="60"/>
    <n v="3"/>
    <x v="0"/>
    <x v="4"/>
    <n v="1"/>
    <s v="Married"/>
    <n v="4741"/>
    <n v="22722"/>
    <n v="1"/>
    <s v="Y"/>
    <x v="0"/>
    <n v="13"/>
    <n v="3"/>
    <n v="3"/>
    <n v="80"/>
    <n v="1"/>
    <n v="5"/>
    <n v="3"/>
    <n v="3"/>
    <x v="8"/>
    <n v="3"/>
    <n v="3"/>
    <n v="3"/>
  </r>
  <r>
    <n v="37"/>
    <x v="1"/>
    <s v="Travel_Rarely"/>
    <n v="1372"/>
    <x v="1"/>
    <x v="0"/>
    <n v="3"/>
    <s v="Life Sciences"/>
    <n v="1"/>
    <n v="391"/>
    <n v="4"/>
    <x v="0"/>
    <n v="42"/>
    <n v="3"/>
    <x v="1"/>
    <x v="1"/>
    <n v="4"/>
    <s v="Single"/>
    <n v="2115"/>
    <n v="15881"/>
    <n v="1"/>
    <s v="Y"/>
    <x v="1"/>
    <n v="12"/>
    <n v="3"/>
    <n v="2"/>
    <n v="80"/>
    <n v="0"/>
    <n v="17"/>
    <n v="3"/>
    <n v="3"/>
    <x v="18"/>
    <n v="12"/>
    <n v="5"/>
    <n v="7"/>
  </r>
  <r>
    <n v="44"/>
    <x v="0"/>
    <s v="Travel_Frequently"/>
    <n v="920"/>
    <x v="1"/>
    <x v="4"/>
    <n v="3"/>
    <s v="Life Sciences"/>
    <n v="1"/>
    <n v="392"/>
    <n v="4"/>
    <x v="1"/>
    <n v="43"/>
    <n v="3"/>
    <x v="1"/>
    <x v="2"/>
    <n v="3"/>
    <s v="Divorced"/>
    <n v="3161"/>
    <n v="19920"/>
    <n v="3"/>
    <s v="Y"/>
    <x v="0"/>
    <n v="22"/>
    <n v="4"/>
    <n v="4"/>
    <n v="80"/>
    <n v="1"/>
    <n v="19"/>
    <n v="0"/>
    <n v="1"/>
    <x v="6"/>
    <n v="0"/>
    <n v="0"/>
    <n v="0"/>
  </r>
  <r>
    <n v="38"/>
    <x v="1"/>
    <s v="Travel_Rarely"/>
    <n v="688"/>
    <x v="1"/>
    <x v="5"/>
    <n v="4"/>
    <s v="Life Sciences"/>
    <n v="1"/>
    <n v="393"/>
    <n v="4"/>
    <x v="1"/>
    <n v="82"/>
    <n v="3"/>
    <x v="0"/>
    <x v="4"/>
    <n v="4"/>
    <s v="Divorced"/>
    <n v="5745"/>
    <n v="18899"/>
    <n v="9"/>
    <s v="Y"/>
    <x v="1"/>
    <n v="14"/>
    <n v="3"/>
    <n v="2"/>
    <n v="80"/>
    <n v="1"/>
    <n v="10"/>
    <n v="2"/>
    <n v="3"/>
    <x v="4"/>
    <n v="2"/>
    <n v="1"/>
    <n v="2"/>
  </r>
  <r>
    <n v="26"/>
    <x v="0"/>
    <s v="Travel_Rarely"/>
    <n v="1449"/>
    <x v="1"/>
    <x v="7"/>
    <n v="4"/>
    <s v="Medical"/>
    <n v="1"/>
    <n v="394"/>
    <n v="1"/>
    <x v="1"/>
    <n v="45"/>
    <n v="3"/>
    <x v="1"/>
    <x v="2"/>
    <n v="2"/>
    <s v="Divorced"/>
    <n v="2373"/>
    <n v="14180"/>
    <n v="2"/>
    <s v="Y"/>
    <x v="0"/>
    <n v="13"/>
    <n v="3"/>
    <n v="4"/>
    <n v="80"/>
    <n v="1"/>
    <n v="5"/>
    <n v="2"/>
    <n v="3"/>
    <x v="11"/>
    <n v="2"/>
    <n v="0"/>
    <n v="2"/>
  </r>
  <r>
    <n v="28"/>
    <x v="1"/>
    <s v="Travel_Rarely"/>
    <n v="1117"/>
    <x v="1"/>
    <x v="1"/>
    <n v="2"/>
    <s v="Life Sciences"/>
    <n v="1"/>
    <n v="395"/>
    <n v="4"/>
    <x v="0"/>
    <n v="66"/>
    <n v="3"/>
    <x v="1"/>
    <x v="1"/>
    <n v="4"/>
    <s v="Single"/>
    <n v="3310"/>
    <n v="4488"/>
    <n v="1"/>
    <s v="Y"/>
    <x v="1"/>
    <n v="21"/>
    <n v="4"/>
    <n v="4"/>
    <n v="80"/>
    <n v="0"/>
    <n v="5"/>
    <n v="3"/>
    <n v="3"/>
    <x v="8"/>
    <n v="3"/>
    <n v="0"/>
    <n v="2"/>
  </r>
  <r>
    <n v="49"/>
    <x v="1"/>
    <s v="Travel_Frequently"/>
    <n v="636"/>
    <x v="1"/>
    <x v="17"/>
    <n v="4"/>
    <s v="Life Sciences"/>
    <n v="1"/>
    <n v="396"/>
    <n v="3"/>
    <x v="0"/>
    <n v="35"/>
    <n v="3"/>
    <x v="4"/>
    <x v="7"/>
    <n v="1"/>
    <s v="Single"/>
    <n v="18665"/>
    <n v="25594"/>
    <n v="9"/>
    <s v="Y"/>
    <x v="0"/>
    <n v="11"/>
    <n v="3"/>
    <n v="4"/>
    <n v="80"/>
    <n v="0"/>
    <n v="22"/>
    <n v="4"/>
    <n v="3"/>
    <x v="11"/>
    <n v="2"/>
    <n v="1"/>
    <n v="2"/>
  </r>
  <r>
    <n v="36"/>
    <x v="1"/>
    <s v="Travel_Rarely"/>
    <n v="506"/>
    <x v="1"/>
    <x v="3"/>
    <n v="3"/>
    <s v="Technical Degree"/>
    <n v="1"/>
    <n v="397"/>
    <n v="3"/>
    <x v="1"/>
    <n v="30"/>
    <n v="3"/>
    <x v="0"/>
    <x v="1"/>
    <n v="2"/>
    <s v="Single"/>
    <n v="4485"/>
    <n v="26285"/>
    <n v="4"/>
    <s v="Y"/>
    <x v="1"/>
    <n v="12"/>
    <n v="3"/>
    <n v="4"/>
    <n v="80"/>
    <n v="0"/>
    <n v="10"/>
    <n v="2"/>
    <n v="3"/>
    <x v="3"/>
    <n v="0"/>
    <n v="7"/>
    <n v="7"/>
  </r>
  <r>
    <n v="31"/>
    <x v="1"/>
    <s v="Travel_Frequently"/>
    <n v="444"/>
    <x v="0"/>
    <x v="12"/>
    <n v="3"/>
    <s v="Marketing"/>
    <n v="1"/>
    <n v="399"/>
    <n v="4"/>
    <x v="0"/>
    <n v="84"/>
    <n v="3"/>
    <x v="1"/>
    <x v="6"/>
    <n v="2"/>
    <s v="Divorced"/>
    <n v="2789"/>
    <n v="3909"/>
    <n v="1"/>
    <s v="Y"/>
    <x v="1"/>
    <n v="11"/>
    <n v="3"/>
    <n v="3"/>
    <n v="80"/>
    <n v="1"/>
    <n v="2"/>
    <n v="5"/>
    <n v="2"/>
    <x v="4"/>
    <n v="2"/>
    <n v="2"/>
    <n v="2"/>
  </r>
  <r>
    <n v="26"/>
    <x v="0"/>
    <s v="Travel_Rarely"/>
    <n v="950"/>
    <x v="0"/>
    <x v="18"/>
    <n v="4"/>
    <s v="Marketing"/>
    <n v="1"/>
    <n v="401"/>
    <n v="4"/>
    <x v="1"/>
    <n v="48"/>
    <n v="2"/>
    <x v="0"/>
    <x v="0"/>
    <n v="4"/>
    <s v="Single"/>
    <n v="5828"/>
    <n v="8450"/>
    <n v="1"/>
    <s v="Y"/>
    <x v="0"/>
    <n v="12"/>
    <n v="3"/>
    <n v="2"/>
    <n v="80"/>
    <n v="0"/>
    <n v="8"/>
    <n v="0"/>
    <n v="3"/>
    <x v="3"/>
    <n v="7"/>
    <n v="7"/>
    <n v="4"/>
  </r>
  <r>
    <n v="37"/>
    <x v="1"/>
    <s v="Travel_Frequently"/>
    <n v="889"/>
    <x v="1"/>
    <x v="14"/>
    <n v="3"/>
    <s v="Medical"/>
    <n v="1"/>
    <n v="403"/>
    <n v="2"/>
    <x v="1"/>
    <n v="53"/>
    <n v="3"/>
    <x v="1"/>
    <x v="1"/>
    <n v="4"/>
    <s v="Married"/>
    <n v="2326"/>
    <n v="11411"/>
    <n v="1"/>
    <s v="Y"/>
    <x v="0"/>
    <n v="12"/>
    <n v="3"/>
    <n v="3"/>
    <n v="80"/>
    <n v="3"/>
    <n v="4"/>
    <n v="3"/>
    <n v="2"/>
    <x v="9"/>
    <n v="2"/>
    <n v="1"/>
    <n v="2"/>
  </r>
  <r>
    <n v="42"/>
    <x v="1"/>
    <s v="Travel_Frequently"/>
    <n v="555"/>
    <x v="0"/>
    <x v="9"/>
    <n v="3"/>
    <s v="Marketing"/>
    <n v="1"/>
    <n v="404"/>
    <n v="3"/>
    <x v="0"/>
    <n v="77"/>
    <n v="3"/>
    <x v="3"/>
    <x v="0"/>
    <n v="2"/>
    <s v="Married"/>
    <n v="13525"/>
    <n v="14864"/>
    <n v="5"/>
    <s v="Y"/>
    <x v="1"/>
    <n v="14"/>
    <n v="3"/>
    <n v="4"/>
    <n v="80"/>
    <n v="1"/>
    <n v="23"/>
    <n v="2"/>
    <n v="4"/>
    <x v="23"/>
    <n v="4"/>
    <n v="4"/>
    <n v="8"/>
  </r>
  <r>
    <n v="18"/>
    <x v="0"/>
    <s v="Travel_Rarely"/>
    <n v="230"/>
    <x v="1"/>
    <x v="3"/>
    <n v="3"/>
    <s v="Life Sciences"/>
    <n v="1"/>
    <n v="405"/>
    <n v="3"/>
    <x v="1"/>
    <n v="54"/>
    <n v="3"/>
    <x v="1"/>
    <x v="2"/>
    <n v="3"/>
    <s v="Single"/>
    <n v="1420"/>
    <n v="25233"/>
    <n v="1"/>
    <s v="Y"/>
    <x v="1"/>
    <n v="13"/>
    <n v="3"/>
    <n v="3"/>
    <n v="80"/>
    <n v="0"/>
    <n v="0"/>
    <n v="2"/>
    <n v="3"/>
    <x v="2"/>
    <n v="0"/>
    <n v="0"/>
    <n v="0"/>
  </r>
  <r>
    <n v="35"/>
    <x v="1"/>
    <s v="Travel_Rarely"/>
    <n v="1232"/>
    <x v="0"/>
    <x v="7"/>
    <n v="3"/>
    <s v="Marketing"/>
    <n v="1"/>
    <n v="406"/>
    <n v="3"/>
    <x v="1"/>
    <n v="96"/>
    <n v="3"/>
    <x v="2"/>
    <x v="0"/>
    <n v="2"/>
    <s v="Married"/>
    <n v="8020"/>
    <n v="5100"/>
    <n v="0"/>
    <s v="Y"/>
    <x v="1"/>
    <n v="15"/>
    <n v="3"/>
    <n v="3"/>
    <n v="80"/>
    <n v="2"/>
    <n v="12"/>
    <n v="3"/>
    <n v="2"/>
    <x v="19"/>
    <n v="9"/>
    <n v="6"/>
    <n v="9"/>
  </r>
  <r>
    <n v="36"/>
    <x v="1"/>
    <s v="Travel_Frequently"/>
    <n v="566"/>
    <x v="1"/>
    <x v="21"/>
    <n v="4"/>
    <s v="Life Sciences"/>
    <n v="1"/>
    <n v="407"/>
    <n v="3"/>
    <x v="1"/>
    <n v="81"/>
    <n v="4"/>
    <x v="1"/>
    <x v="2"/>
    <n v="4"/>
    <s v="Married"/>
    <n v="3688"/>
    <n v="7122"/>
    <n v="4"/>
    <s v="Y"/>
    <x v="1"/>
    <n v="18"/>
    <n v="3"/>
    <n v="4"/>
    <n v="80"/>
    <n v="2"/>
    <n v="4"/>
    <n v="2"/>
    <n v="3"/>
    <x v="6"/>
    <n v="0"/>
    <n v="0"/>
    <n v="0"/>
  </r>
  <r>
    <n v="51"/>
    <x v="1"/>
    <s v="Travel_Rarely"/>
    <n v="1302"/>
    <x v="1"/>
    <x v="2"/>
    <n v="3"/>
    <s v="Medical"/>
    <n v="1"/>
    <n v="408"/>
    <n v="4"/>
    <x v="1"/>
    <n v="84"/>
    <n v="1"/>
    <x v="0"/>
    <x v="3"/>
    <n v="2"/>
    <s v="Divorced"/>
    <n v="5482"/>
    <n v="16321"/>
    <n v="5"/>
    <s v="Y"/>
    <x v="1"/>
    <n v="18"/>
    <n v="3"/>
    <n v="4"/>
    <n v="80"/>
    <n v="1"/>
    <n v="13"/>
    <n v="3"/>
    <n v="3"/>
    <x v="9"/>
    <n v="1"/>
    <n v="1"/>
    <n v="2"/>
  </r>
  <r>
    <n v="41"/>
    <x v="1"/>
    <s v="Travel_Rarely"/>
    <n v="334"/>
    <x v="0"/>
    <x v="2"/>
    <n v="4"/>
    <s v="Life Sciences"/>
    <n v="1"/>
    <n v="410"/>
    <n v="4"/>
    <x v="1"/>
    <n v="88"/>
    <n v="3"/>
    <x v="3"/>
    <x v="5"/>
    <n v="2"/>
    <s v="Single"/>
    <n v="16015"/>
    <n v="15896"/>
    <n v="1"/>
    <s v="Y"/>
    <x v="1"/>
    <n v="19"/>
    <n v="3"/>
    <n v="2"/>
    <n v="80"/>
    <n v="0"/>
    <n v="22"/>
    <n v="2"/>
    <n v="3"/>
    <x v="14"/>
    <n v="10"/>
    <n v="0"/>
    <n v="4"/>
  </r>
  <r>
    <n v="18"/>
    <x v="1"/>
    <s v="Travel_Rarely"/>
    <n v="812"/>
    <x v="0"/>
    <x v="17"/>
    <n v="3"/>
    <s v="Medical"/>
    <n v="1"/>
    <n v="411"/>
    <n v="4"/>
    <x v="0"/>
    <n v="69"/>
    <n v="2"/>
    <x v="1"/>
    <x v="6"/>
    <n v="3"/>
    <s v="Single"/>
    <n v="1200"/>
    <n v="9724"/>
    <n v="1"/>
    <s v="Y"/>
    <x v="1"/>
    <n v="12"/>
    <n v="3"/>
    <n v="1"/>
    <n v="80"/>
    <n v="0"/>
    <n v="0"/>
    <n v="2"/>
    <n v="3"/>
    <x v="2"/>
    <n v="0"/>
    <n v="0"/>
    <n v="0"/>
  </r>
  <r>
    <n v="28"/>
    <x v="1"/>
    <s v="Travel_Rarely"/>
    <n v="1476"/>
    <x v="1"/>
    <x v="7"/>
    <n v="2"/>
    <s v="Medical"/>
    <n v="1"/>
    <n v="412"/>
    <n v="2"/>
    <x v="1"/>
    <n v="68"/>
    <n v="4"/>
    <x v="0"/>
    <x v="4"/>
    <n v="1"/>
    <s v="Single"/>
    <n v="5661"/>
    <n v="4824"/>
    <n v="0"/>
    <s v="Y"/>
    <x v="1"/>
    <n v="19"/>
    <n v="3"/>
    <n v="3"/>
    <n v="80"/>
    <n v="0"/>
    <n v="9"/>
    <n v="2"/>
    <n v="3"/>
    <x v="3"/>
    <n v="3"/>
    <n v="0"/>
    <n v="7"/>
  </r>
  <r>
    <n v="31"/>
    <x v="1"/>
    <s v="Travel_Rarely"/>
    <n v="218"/>
    <x v="0"/>
    <x v="15"/>
    <n v="3"/>
    <s v="Technical Degree"/>
    <n v="1"/>
    <n v="416"/>
    <n v="2"/>
    <x v="1"/>
    <n v="100"/>
    <n v="4"/>
    <x v="0"/>
    <x v="0"/>
    <n v="4"/>
    <s v="Married"/>
    <n v="6929"/>
    <n v="12241"/>
    <n v="4"/>
    <s v="Y"/>
    <x v="1"/>
    <n v="11"/>
    <n v="3"/>
    <n v="2"/>
    <n v="80"/>
    <n v="1"/>
    <n v="10"/>
    <n v="3"/>
    <n v="2"/>
    <x v="3"/>
    <n v="7"/>
    <n v="7"/>
    <n v="7"/>
  </r>
  <r>
    <n v="39"/>
    <x v="1"/>
    <s v="Travel_Rarely"/>
    <n v="1132"/>
    <x v="1"/>
    <x v="0"/>
    <n v="3"/>
    <s v="Medical"/>
    <n v="1"/>
    <n v="417"/>
    <n v="3"/>
    <x v="1"/>
    <n v="48"/>
    <n v="4"/>
    <x v="2"/>
    <x v="4"/>
    <n v="4"/>
    <s v="Divorced"/>
    <n v="9613"/>
    <n v="10942"/>
    <n v="0"/>
    <s v="Y"/>
    <x v="1"/>
    <n v="17"/>
    <n v="3"/>
    <n v="1"/>
    <n v="80"/>
    <n v="3"/>
    <n v="19"/>
    <n v="5"/>
    <n v="2"/>
    <x v="29"/>
    <n v="10"/>
    <n v="3"/>
    <n v="7"/>
  </r>
  <r>
    <n v="36"/>
    <x v="1"/>
    <s v="Non-Travel"/>
    <n v="1105"/>
    <x v="1"/>
    <x v="4"/>
    <n v="4"/>
    <s v="Life Sciences"/>
    <n v="1"/>
    <n v="419"/>
    <n v="2"/>
    <x v="0"/>
    <n v="47"/>
    <n v="3"/>
    <x v="0"/>
    <x v="2"/>
    <n v="2"/>
    <s v="Married"/>
    <n v="5674"/>
    <n v="6927"/>
    <n v="7"/>
    <s v="Y"/>
    <x v="1"/>
    <n v="15"/>
    <n v="3"/>
    <n v="3"/>
    <n v="80"/>
    <n v="1"/>
    <n v="11"/>
    <n v="3"/>
    <n v="3"/>
    <x v="7"/>
    <n v="8"/>
    <n v="0"/>
    <n v="8"/>
  </r>
  <r>
    <n v="32"/>
    <x v="1"/>
    <s v="Travel_Rarely"/>
    <n v="906"/>
    <x v="0"/>
    <x v="15"/>
    <n v="3"/>
    <s v="Life Sciences"/>
    <n v="1"/>
    <n v="420"/>
    <n v="4"/>
    <x v="1"/>
    <n v="91"/>
    <n v="2"/>
    <x v="0"/>
    <x v="0"/>
    <n v="3"/>
    <s v="Married"/>
    <n v="5484"/>
    <n v="16985"/>
    <n v="1"/>
    <s v="Y"/>
    <x v="1"/>
    <n v="14"/>
    <n v="3"/>
    <n v="3"/>
    <n v="80"/>
    <n v="1"/>
    <n v="13"/>
    <n v="3"/>
    <n v="2"/>
    <x v="20"/>
    <n v="8"/>
    <n v="4"/>
    <n v="8"/>
  </r>
  <r>
    <n v="38"/>
    <x v="1"/>
    <s v="Travel_Rarely"/>
    <n v="849"/>
    <x v="1"/>
    <x v="19"/>
    <n v="2"/>
    <s v="Life Sciences"/>
    <n v="1"/>
    <n v="421"/>
    <n v="1"/>
    <x v="0"/>
    <n v="81"/>
    <n v="2"/>
    <x v="2"/>
    <x v="7"/>
    <n v="2"/>
    <s v="Married"/>
    <n v="12061"/>
    <n v="26707"/>
    <n v="3"/>
    <s v="Y"/>
    <x v="1"/>
    <n v="17"/>
    <n v="3"/>
    <n v="3"/>
    <n v="80"/>
    <n v="1"/>
    <n v="19"/>
    <n v="2"/>
    <n v="3"/>
    <x v="1"/>
    <n v="8"/>
    <n v="0"/>
    <n v="1"/>
  </r>
  <r>
    <n v="58"/>
    <x v="1"/>
    <s v="Non-Travel"/>
    <n v="390"/>
    <x v="1"/>
    <x v="0"/>
    <n v="4"/>
    <s v="Life Sciences"/>
    <n v="1"/>
    <n v="422"/>
    <n v="4"/>
    <x v="1"/>
    <n v="32"/>
    <n v="1"/>
    <x v="0"/>
    <x v="4"/>
    <n v="3"/>
    <s v="Divorced"/>
    <n v="5660"/>
    <n v="17056"/>
    <n v="2"/>
    <s v="Y"/>
    <x v="0"/>
    <n v="13"/>
    <n v="3"/>
    <n v="4"/>
    <n v="80"/>
    <n v="1"/>
    <n v="12"/>
    <n v="2"/>
    <n v="3"/>
    <x v="8"/>
    <n v="3"/>
    <n v="1"/>
    <n v="2"/>
  </r>
  <r>
    <n v="31"/>
    <x v="1"/>
    <s v="Travel_Rarely"/>
    <n v="691"/>
    <x v="1"/>
    <x v="12"/>
    <n v="4"/>
    <s v="Technical Degree"/>
    <n v="1"/>
    <n v="423"/>
    <n v="3"/>
    <x v="1"/>
    <n v="86"/>
    <n v="3"/>
    <x v="1"/>
    <x v="1"/>
    <n v="4"/>
    <s v="Married"/>
    <n v="4821"/>
    <n v="10077"/>
    <n v="0"/>
    <s v="Y"/>
    <x v="0"/>
    <n v="12"/>
    <n v="3"/>
    <n v="3"/>
    <n v="80"/>
    <n v="1"/>
    <n v="6"/>
    <n v="4"/>
    <n v="3"/>
    <x v="8"/>
    <n v="2"/>
    <n v="0"/>
    <n v="3"/>
  </r>
  <r>
    <n v="31"/>
    <x v="1"/>
    <s v="Travel_Rarely"/>
    <n v="106"/>
    <x v="2"/>
    <x v="2"/>
    <n v="3"/>
    <s v="Human Resources"/>
    <n v="1"/>
    <n v="424"/>
    <n v="1"/>
    <x v="1"/>
    <n v="62"/>
    <n v="2"/>
    <x v="0"/>
    <x v="8"/>
    <n v="1"/>
    <s v="Married"/>
    <n v="6410"/>
    <n v="17822"/>
    <n v="3"/>
    <s v="Y"/>
    <x v="1"/>
    <n v="12"/>
    <n v="3"/>
    <n v="4"/>
    <n v="80"/>
    <n v="0"/>
    <n v="9"/>
    <n v="1"/>
    <n v="3"/>
    <x v="4"/>
    <n v="2"/>
    <n v="1"/>
    <n v="0"/>
  </r>
  <r>
    <n v="45"/>
    <x v="1"/>
    <s v="Travel_Frequently"/>
    <n v="1249"/>
    <x v="1"/>
    <x v="15"/>
    <n v="3"/>
    <s v="Life Sciences"/>
    <n v="1"/>
    <n v="425"/>
    <n v="1"/>
    <x v="1"/>
    <n v="97"/>
    <n v="3"/>
    <x v="2"/>
    <x v="2"/>
    <n v="1"/>
    <s v="Divorced"/>
    <n v="5210"/>
    <n v="20308"/>
    <n v="1"/>
    <s v="Y"/>
    <x v="1"/>
    <n v="18"/>
    <n v="3"/>
    <n v="1"/>
    <n v="80"/>
    <n v="1"/>
    <n v="24"/>
    <n v="2"/>
    <n v="3"/>
    <x v="25"/>
    <n v="9"/>
    <n v="9"/>
    <n v="11"/>
  </r>
  <r>
    <n v="31"/>
    <x v="1"/>
    <s v="Travel_Rarely"/>
    <n v="192"/>
    <x v="1"/>
    <x v="2"/>
    <n v="4"/>
    <s v="Life Sciences"/>
    <n v="1"/>
    <n v="426"/>
    <n v="3"/>
    <x v="1"/>
    <n v="32"/>
    <n v="3"/>
    <x v="1"/>
    <x v="1"/>
    <n v="4"/>
    <s v="Divorced"/>
    <n v="2695"/>
    <n v="7747"/>
    <n v="0"/>
    <s v="Y"/>
    <x v="0"/>
    <n v="18"/>
    <n v="3"/>
    <n v="2"/>
    <n v="80"/>
    <n v="1"/>
    <n v="3"/>
    <n v="2"/>
    <n v="1"/>
    <x v="4"/>
    <n v="2"/>
    <n v="2"/>
    <n v="2"/>
  </r>
  <r>
    <n v="33"/>
    <x v="1"/>
    <s v="Travel_Frequently"/>
    <n v="553"/>
    <x v="1"/>
    <x v="12"/>
    <n v="4"/>
    <s v="Life Sciences"/>
    <n v="1"/>
    <n v="428"/>
    <n v="4"/>
    <x v="0"/>
    <n v="74"/>
    <n v="3"/>
    <x v="2"/>
    <x v="5"/>
    <n v="2"/>
    <s v="Married"/>
    <n v="11878"/>
    <n v="23364"/>
    <n v="6"/>
    <s v="Y"/>
    <x v="1"/>
    <n v="11"/>
    <n v="3"/>
    <n v="2"/>
    <n v="80"/>
    <n v="2"/>
    <n v="12"/>
    <n v="2"/>
    <n v="3"/>
    <x v="1"/>
    <n v="6"/>
    <n v="8"/>
    <n v="8"/>
  </r>
  <r>
    <n v="39"/>
    <x v="1"/>
    <s v="Travel_Rarely"/>
    <n v="117"/>
    <x v="1"/>
    <x v="17"/>
    <n v="1"/>
    <s v="Medical"/>
    <n v="1"/>
    <n v="429"/>
    <n v="3"/>
    <x v="1"/>
    <n v="99"/>
    <n v="3"/>
    <x v="3"/>
    <x v="5"/>
    <n v="1"/>
    <s v="Married"/>
    <n v="17068"/>
    <n v="5355"/>
    <n v="1"/>
    <s v="Y"/>
    <x v="0"/>
    <n v="14"/>
    <n v="3"/>
    <n v="4"/>
    <n v="80"/>
    <n v="0"/>
    <n v="21"/>
    <n v="3"/>
    <n v="3"/>
    <x v="17"/>
    <n v="9"/>
    <n v="11"/>
    <n v="10"/>
  </r>
  <r>
    <n v="43"/>
    <x v="1"/>
    <s v="Travel_Frequently"/>
    <n v="185"/>
    <x v="1"/>
    <x v="17"/>
    <n v="4"/>
    <s v="Life Sciences"/>
    <n v="1"/>
    <n v="430"/>
    <n v="3"/>
    <x v="0"/>
    <n v="33"/>
    <n v="3"/>
    <x v="1"/>
    <x v="2"/>
    <n v="4"/>
    <s v="Single"/>
    <n v="2455"/>
    <n v="10675"/>
    <n v="0"/>
    <s v="Y"/>
    <x v="1"/>
    <n v="19"/>
    <n v="3"/>
    <n v="1"/>
    <n v="80"/>
    <n v="0"/>
    <n v="9"/>
    <n v="5"/>
    <n v="3"/>
    <x v="3"/>
    <n v="7"/>
    <n v="1"/>
    <n v="7"/>
  </r>
  <r>
    <n v="49"/>
    <x v="1"/>
    <s v="Travel_Rarely"/>
    <n v="1091"/>
    <x v="1"/>
    <x v="0"/>
    <n v="2"/>
    <s v="Technical Degree"/>
    <n v="1"/>
    <n v="431"/>
    <n v="3"/>
    <x v="0"/>
    <n v="90"/>
    <n v="2"/>
    <x v="3"/>
    <x v="4"/>
    <n v="3"/>
    <s v="Single"/>
    <n v="13964"/>
    <n v="17810"/>
    <n v="7"/>
    <s v="Y"/>
    <x v="0"/>
    <n v="12"/>
    <n v="3"/>
    <n v="4"/>
    <n v="80"/>
    <n v="0"/>
    <n v="25"/>
    <n v="2"/>
    <n v="3"/>
    <x v="5"/>
    <n v="1"/>
    <n v="0"/>
    <n v="7"/>
  </r>
  <r>
    <n v="52"/>
    <x v="0"/>
    <s v="Travel_Rarely"/>
    <n v="723"/>
    <x v="1"/>
    <x v="1"/>
    <n v="4"/>
    <s v="Medical"/>
    <n v="1"/>
    <n v="433"/>
    <n v="3"/>
    <x v="1"/>
    <n v="85"/>
    <n v="2"/>
    <x v="0"/>
    <x v="1"/>
    <n v="2"/>
    <s v="Married"/>
    <n v="4941"/>
    <n v="17747"/>
    <n v="2"/>
    <s v="Y"/>
    <x v="1"/>
    <n v="15"/>
    <n v="3"/>
    <n v="1"/>
    <n v="80"/>
    <n v="0"/>
    <n v="11"/>
    <n v="3"/>
    <n v="2"/>
    <x v="3"/>
    <n v="2"/>
    <n v="7"/>
    <n v="7"/>
  </r>
  <r>
    <n v="27"/>
    <x v="1"/>
    <s v="Travel_Rarely"/>
    <n v="1220"/>
    <x v="1"/>
    <x v="12"/>
    <n v="3"/>
    <s v="Life Sciences"/>
    <n v="1"/>
    <n v="434"/>
    <n v="3"/>
    <x v="0"/>
    <n v="85"/>
    <n v="3"/>
    <x v="1"/>
    <x v="1"/>
    <n v="2"/>
    <s v="Single"/>
    <n v="2478"/>
    <n v="20938"/>
    <n v="1"/>
    <s v="Y"/>
    <x v="0"/>
    <n v="12"/>
    <n v="3"/>
    <n v="2"/>
    <n v="80"/>
    <n v="0"/>
    <n v="4"/>
    <n v="2"/>
    <n v="2"/>
    <x v="9"/>
    <n v="3"/>
    <n v="1"/>
    <n v="2"/>
  </r>
  <r>
    <n v="32"/>
    <x v="1"/>
    <s v="Travel_Rarely"/>
    <n v="588"/>
    <x v="0"/>
    <x v="1"/>
    <n v="2"/>
    <s v="Technical Degree"/>
    <n v="1"/>
    <n v="436"/>
    <n v="3"/>
    <x v="0"/>
    <n v="65"/>
    <n v="2"/>
    <x v="0"/>
    <x v="0"/>
    <n v="2"/>
    <s v="Married"/>
    <n v="5228"/>
    <n v="24624"/>
    <n v="1"/>
    <s v="Y"/>
    <x v="0"/>
    <n v="11"/>
    <n v="3"/>
    <n v="4"/>
    <n v="80"/>
    <n v="0"/>
    <n v="13"/>
    <n v="2"/>
    <n v="3"/>
    <x v="20"/>
    <n v="12"/>
    <n v="11"/>
    <n v="9"/>
  </r>
  <r>
    <n v="27"/>
    <x v="1"/>
    <s v="Travel_Rarely"/>
    <n v="1377"/>
    <x v="0"/>
    <x v="2"/>
    <n v="3"/>
    <s v="Life Sciences"/>
    <n v="1"/>
    <n v="437"/>
    <n v="4"/>
    <x v="1"/>
    <n v="74"/>
    <n v="3"/>
    <x v="0"/>
    <x v="0"/>
    <n v="3"/>
    <s v="Single"/>
    <n v="4478"/>
    <n v="5242"/>
    <n v="1"/>
    <s v="Y"/>
    <x v="0"/>
    <n v="11"/>
    <n v="3"/>
    <n v="1"/>
    <n v="80"/>
    <n v="0"/>
    <n v="5"/>
    <n v="3"/>
    <n v="3"/>
    <x v="8"/>
    <n v="4"/>
    <n v="0"/>
    <n v="4"/>
  </r>
  <r>
    <n v="31"/>
    <x v="1"/>
    <s v="Travel_Rarely"/>
    <n v="691"/>
    <x v="0"/>
    <x v="15"/>
    <n v="3"/>
    <s v="Marketing"/>
    <n v="1"/>
    <n v="438"/>
    <n v="4"/>
    <x v="1"/>
    <n v="73"/>
    <n v="3"/>
    <x v="0"/>
    <x v="0"/>
    <n v="4"/>
    <s v="Divorced"/>
    <n v="7547"/>
    <n v="7143"/>
    <n v="4"/>
    <s v="Y"/>
    <x v="1"/>
    <n v="12"/>
    <n v="3"/>
    <n v="4"/>
    <n v="80"/>
    <n v="3"/>
    <n v="13"/>
    <n v="3"/>
    <n v="3"/>
    <x v="5"/>
    <n v="7"/>
    <n v="1"/>
    <n v="7"/>
  </r>
  <r>
    <n v="32"/>
    <x v="1"/>
    <s v="Travel_Rarely"/>
    <n v="1018"/>
    <x v="1"/>
    <x v="2"/>
    <n v="4"/>
    <s v="Medical"/>
    <n v="1"/>
    <n v="439"/>
    <n v="1"/>
    <x v="0"/>
    <n v="74"/>
    <n v="4"/>
    <x v="0"/>
    <x v="1"/>
    <n v="4"/>
    <s v="Single"/>
    <n v="5055"/>
    <n v="10557"/>
    <n v="7"/>
    <s v="Y"/>
    <x v="1"/>
    <n v="16"/>
    <n v="3"/>
    <n v="3"/>
    <n v="80"/>
    <n v="0"/>
    <n v="10"/>
    <n v="0"/>
    <n v="2"/>
    <x v="5"/>
    <n v="7"/>
    <n v="0"/>
    <n v="7"/>
  </r>
  <r>
    <n v="28"/>
    <x v="0"/>
    <s v="Travel_Rarely"/>
    <n v="1157"/>
    <x v="1"/>
    <x v="2"/>
    <n v="4"/>
    <s v="Medical"/>
    <n v="1"/>
    <n v="440"/>
    <n v="1"/>
    <x v="1"/>
    <n v="84"/>
    <n v="1"/>
    <x v="1"/>
    <x v="1"/>
    <n v="4"/>
    <s v="Married"/>
    <n v="3464"/>
    <n v="24737"/>
    <n v="5"/>
    <s v="Y"/>
    <x v="0"/>
    <n v="13"/>
    <n v="3"/>
    <n v="4"/>
    <n v="80"/>
    <n v="0"/>
    <n v="5"/>
    <n v="4"/>
    <n v="2"/>
    <x v="11"/>
    <n v="2"/>
    <n v="2"/>
    <n v="2"/>
  </r>
  <r>
    <n v="30"/>
    <x v="1"/>
    <s v="Travel_Rarely"/>
    <n v="1275"/>
    <x v="1"/>
    <x v="26"/>
    <n v="2"/>
    <s v="Medical"/>
    <n v="1"/>
    <n v="441"/>
    <n v="4"/>
    <x v="0"/>
    <n v="64"/>
    <n v="3"/>
    <x v="0"/>
    <x v="1"/>
    <n v="4"/>
    <s v="Married"/>
    <n v="5775"/>
    <n v="11934"/>
    <n v="1"/>
    <s v="Y"/>
    <x v="1"/>
    <n v="13"/>
    <n v="3"/>
    <n v="4"/>
    <n v="80"/>
    <n v="2"/>
    <n v="11"/>
    <n v="2"/>
    <n v="3"/>
    <x v="1"/>
    <n v="8"/>
    <n v="1"/>
    <n v="9"/>
  </r>
  <r>
    <n v="31"/>
    <x v="1"/>
    <s v="Travel_Frequently"/>
    <n v="798"/>
    <x v="1"/>
    <x v="15"/>
    <n v="2"/>
    <s v="Life Sciences"/>
    <n v="1"/>
    <n v="442"/>
    <n v="3"/>
    <x v="0"/>
    <n v="48"/>
    <n v="2"/>
    <x v="2"/>
    <x v="3"/>
    <n v="3"/>
    <s v="Married"/>
    <n v="8943"/>
    <n v="14034"/>
    <n v="1"/>
    <s v="Y"/>
    <x v="1"/>
    <n v="24"/>
    <n v="4"/>
    <n v="1"/>
    <n v="80"/>
    <n v="1"/>
    <n v="10"/>
    <n v="2"/>
    <n v="3"/>
    <x v="1"/>
    <n v="9"/>
    <n v="8"/>
    <n v="9"/>
  </r>
  <r>
    <n v="39"/>
    <x v="1"/>
    <s v="Travel_Frequently"/>
    <n v="672"/>
    <x v="1"/>
    <x v="15"/>
    <n v="2"/>
    <s v="Medical"/>
    <n v="1"/>
    <n v="444"/>
    <n v="3"/>
    <x v="1"/>
    <n v="54"/>
    <n v="2"/>
    <x v="4"/>
    <x v="5"/>
    <n v="4"/>
    <s v="Married"/>
    <n v="19272"/>
    <n v="21141"/>
    <n v="1"/>
    <s v="Y"/>
    <x v="1"/>
    <n v="15"/>
    <n v="3"/>
    <n v="1"/>
    <n v="80"/>
    <n v="1"/>
    <n v="21"/>
    <n v="2"/>
    <n v="3"/>
    <x v="17"/>
    <n v="9"/>
    <n v="13"/>
    <n v="3"/>
  </r>
  <r>
    <n v="39"/>
    <x v="0"/>
    <s v="Travel_Rarely"/>
    <n v="1162"/>
    <x v="0"/>
    <x v="3"/>
    <n v="2"/>
    <s v="Medical"/>
    <n v="1"/>
    <n v="445"/>
    <n v="4"/>
    <x v="0"/>
    <n v="41"/>
    <n v="3"/>
    <x v="0"/>
    <x v="0"/>
    <n v="3"/>
    <s v="Married"/>
    <n v="5238"/>
    <n v="17778"/>
    <n v="4"/>
    <s v="Y"/>
    <x v="0"/>
    <n v="18"/>
    <n v="3"/>
    <n v="1"/>
    <n v="80"/>
    <n v="0"/>
    <n v="12"/>
    <n v="3"/>
    <n v="2"/>
    <x v="6"/>
    <n v="0"/>
    <n v="0"/>
    <n v="0"/>
  </r>
  <r>
    <n v="33"/>
    <x v="1"/>
    <s v="Travel_Frequently"/>
    <n v="508"/>
    <x v="0"/>
    <x v="17"/>
    <n v="3"/>
    <s v="Marketing"/>
    <n v="1"/>
    <n v="446"/>
    <n v="2"/>
    <x v="1"/>
    <n v="46"/>
    <n v="2"/>
    <x v="0"/>
    <x v="0"/>
    <n v="4"/>
    <s v="Single"/>
    <n v="4682"/>
    <n v="4317"/>
    <n v="3"/>
    <s v="Y"/>
    <x v="1"/>
    <n v="14"/>
    <n v="3"/>
    <n v="3"/>
    <n v="80"/>
    <n v="0"/>
    <n v="9"/>
    <n v="6"/>
    <n v="2"/>
    <x v="5"/>
    <n v="7"/>
    <n v="0"/>
    <n v="1"/>
  </r>
  <r>
    <n v="47"/>
    <x v="1"/>
    <s v="Travel_Rarely"/>
    <n v="1482"/>
    <x v="1"/>
    <x v="12"/>
    <n v="5"/>
    <s v="Life Sciences"/>
    <n v="1"/>
    <n v="447"/>
    <n v="4"/>
    <x v="1"/>
    <n v="42"/>
    <n v="3"/>
    <x v="4"/>
    <x v="7"/>
    <n v="3"/>
    <s v="Married"/>
    <n v="18300"/>
    <n v="16375"/>
    <n v="4"/>
    <s v="Y"/>
    <x v="1"/>
    <n v="11"/>
    <n v="3"/>
    <n v="2"/>
    <n v="80"/>
    <n v="1"/>
    <n v="21"/>
    <n v="2"/>
    <n v="3"/>
    <x v="11"/>
    <n v="2"/>
    <n v="1"/>
    <n v="1"/>
  </r>
  <r>
    <n v="43"/>
    <x v="1"/>
    <s v="Travel_Frequently"/>
    <n v="559"/>
    <x v="1"/>
    <x v="17"/>
    <n v="4"/>
    <s v="Life Sciences"/>
    <n v="1"/>
    <n v="448"/>
    <n v="3"/>
    <x v="0"/>
    <n v="82"/>
    <n v="2"/>
    <x v="0"/>
    <x v="2"/>
    <n v="3"/>
    <s v="Divorced"/>
    <n v="5257"/>
    <n v="6227"/>
    <n v="1"/>
    <s v="Y"/>
    <x v="1"/>
    <n v="11"/>
    <n v="3"/>
    <n v="2"/>
    <n v="80"/>
    <n v="1"/>
    <n v="9"/>
    <n v="3"/>
    <n v="4"/>
    <x v="7"/>
    <n v="7"/>
    <n v="0"/>
    <n v="0"/>
  </r>
  <r>
    <n v="27"/>
    <x v="1"/>
    <s v="Non-Travel"/>
    <n v="210"/>
    <x v="0"/>
    <x v="0"/>
    <n v="1"/>
    <s v="Marketing"/>
    <n v="1"/>
    <n v="449"/>
    <n v="3"/>
    <x v="1"/>
    <n v="73"/>
    <n v="3"/>
    <x v="0"/>
    <x v="0"/>
    <n v="2"/>
    <s v="Married"/>
    <n v="6349"/>
    <n v="22107"/>
    <n v="0"/>
    <s v="Y"/>
    <x v="0"/>
    <n v="13"/>
    <n v="3"/>
    <n v="4"/>
    <n v="80"/>
    <n v="1"/>
    <n v="6"/>
    <n v="0"/>
    <n v="3"/>
    <x v="8"/>
    <n v="4"/>
    <n v="1"/>
    <n v="4"/>
  </r>
  <r>
    <n v="54"/>
    <x v="1"/>
    <s v="Travel_Frequently"/>
    <n v="928"/>
    <x v="1"/>
    <x v="25"/>
    <n v="4"/>
    <s v="Life Sciences"/>
    <n v="1"/>
    <n v="450"/>
    <n v="4"/>
    <x v="0"/>
    <n v="31"/>
    <n v="3"/>
    <x v="0"/>
    <x v="1"/>
    <n v="3"/>
    <s v="Single"/>
    <n v="4869"/>
    <n v="16885"/>
    <n v="3"/>
    <s v="Y"/>
    <x v="1"/>
    <n v="12"/>
    <n v="3"/>
    <n v="4"/>
    <n v="80"/>
    <n v="0"/>
    <n v="20"/>
    <n v="4"/>
    <n v="2"/>
    <x v="9"/>
    <n v="3"/>
    <n v="0"/>
    <n v="3"/>
  </r>
  <r>
    <n v="43"/>
    <x v="1"/>
    <s v="Travel_Rarely"/>
    <n v="1001"/>
    <x v="1"/>
    <x v="15"/>
    <n v="3"/>
    <s v="Life Sciences"/>
    <n v="1"/>
    <n v="451"/>
    <n v="3"/>
    <x v="0"/>
    <n v="43"/>
    <n v="3"/>
    <x v="2"/>
    <x v="4"/>
    <n v="1"/>
    <s v="Married"/>
    <n v="9985"/>
    <n v="9262"/>
    <n v="8"/>
    <s v="Y"/>
    <x v="1"/>
    <n v="16"/>
    <n v="3"/>
    <n v="1"/>
    <n v="80"/>
    <n v="1"/>
    <n v="10"/>
    <n v="1"/>
    <n v="2"/>
    <x v="6"/>
    <n v="0"/>
    <n v="0"/>
    <n v="0"/>
  </r>
  <r>
    <n v="45"/>
    <x v="1"/>
    <s v="Travel_Rarely"/>
    <n v="549"/>
    <x v="1"/>
    <x v="1"/>
    <n v="4"/>
    <s v="Other"/>
    <n v="1"/>
    <n v="452"/>
    <n v="4"/>
    <x v="1"/>
    <n v="75"/>
    <n v="3"/>
    <x v="0"/>
    <x v="1"/>
    <n v="4"/>
    <s v="Married"/>
    <n v="3697"/>
    <n v="9278"/>
    <n v="9"/>
    <s v="Y"/>
    <x v="1"/>
    <n v="14"/>
    <n v="3"/>
    <n v="1"/>
    <n v="80"/>
    <n v="2"/>
    <n v="12"/>
    <n v="3"/>
    <n v="3"/>
    <x v="1"/>
    <n v="9"/>
    <n v="9"/>
    <n v="8"/>
  </r>
  <r>
    <n v="40"/>
    <x v="1"/>
    <s v="Travel_Rarely"/>
    <n v="1124"/>
    <x v="0"/>
    <x v="0"/>
    <n v="2"/>
    <s v="Medical"/>
    <n v="1"/>
    <n v="453"/>
    <n v="2"/>
    <x v="1"/>
    <n v="57"/>
    <n v="1"/>
    <x v="0"/>
    <x v="0"/>
    <n v="4"/>
    <s v="Married"/>
    <n v="7457"/>
    <n v="13273"/>
    <n v="2"/>
    <s v="Y"/>
    <x v="0"/>
    <n v="22"/>
    <n v="4"/>
    <n v="3"/>
    <n v="80"/>
    <n v="3"/>
    <n v="6"/>
    <n v="2"/>
    <n v="2"/>
    <x v="9"/>
    <n v="3"/>
    <n v="0"/>
    <n v="2"/>
  </r>
  <r>
    <n v="29"/>
    <x v="0"/>
    <s v="Travel_Rarely"/>
    <n v="318"/>
    <x v="1"/>
    <x v="1"/>
    <n v="4"/>
    <s v="Other"/>
    <n v="1"/>
    <n v="454"/>
    <n v="2"/>
    <x v="1"/>
    <n v="77"/>
    <n v="1"/>
    <x v="1"/>
    <x v="2"/>
    <n v="1"/>
    <s v="Married"/>
    <n v="2119"/>
    <n v="4759"/>
    <n v="1"/>
    <s v="Y"/>
    <x v="0"/>
    <n v="11"/>
    <n v="3"/>
    <n v="4"/>
    <n v="80"/>
    <n v="0"/>
    <n v="7"/>
    <n v="4"/>
    <n v="2"/>
    <x v="5"/>
    <n v="7"/>
    <n v="0"/>
    <n v="7"/>
  </r>
  <r>
    <n v="29"/>
    <x v="1"/>
    <s v="Travel_Rarely"/>
    <n v="738"/>
    <x v="1"/>
    <x v="14"/>
    <n v="5"/>
    <s v="Other"/>
    <n v="1"/>
    <n v="455"/>
    <n v="2"/>
    <x v="1"/>
    <n v="30"/>
    <n v="2"/>
    <x v="1"/>
    <x v="2"/>
    <n v="4"/>
    <s v="Single"/>
    <n v="3983"/>
    <n v="7621"/>
    <n v="0"/>
    <s v="Y"/>
    <x v="1"/>
    <n v="17"/>
    <n v="3"/>
    <n v="3"/>
    <n v="80"/>
    <n v="0"/>
    <n v="4"/>
    <n v="2"/>
    <n v="3"/>
    <x v="11"/>
    <n v="2"/>
    <n v="2"/>
    <n v="2"/>
  </r>
  <r>
    <n v="30"/>
    <x v="1"/>
    <s v="Travel_Rarely"/>
    <n v="570"/>
    <x v="0"/>
    <x v="12"/>
    <n v="3"/>
    <s v="Marketing"/>
    <n v="1"/>
    <n v="456"/>
    <n v="4"/>
    <x v="0"/>
    <n v="30"/>
    <n v="2"/>
    <x v="0"/>
    <x v="0"/>
    <n v="3"/>
    <s v="Divorced"/>
    <n v="6118"/>
    <n v="5431"/>
    <n v="1"/>
    <s v="Y"/>
    <x v="1"/>
    <n v="13"/>
    <n v="3"/>
    <n v="3"/>
    <n v="80"/>
    <n v="3"/>
    <n v="10"/>
    <n v="2"/>
    <n v="3"/>
    <x v="1"/>
    <n v="9"/>
    <n v="1"/>
    <n v="2"/>
  </r>
  <r>
    <n v="27"/>
    <x v="1"/>
    <s v="Travel_Rarely"/>
    <n v="1130"/>
    <x v="0"/>
    <x v="1"/>
    <n v="4"/>
    <s v="Marketing"/>
    <n v="1"/>
    <n v="458"/>
    <n v="2"/>
    <x v="0"/>
    <n v="56"/>
    <n v="3"/>
    <x v="0"/>
    <x v="0"/>
    <n v="2"/>
    <s v="Married"/>
    <n v="6214"/>
    <n v="3415"/>
    <n v="1"/>
    <s v="Y"/>
    <x v="1"/>
    <n v="18"/>
    <n v="3"/>
    <n v="1"/>
    <n v="80"/>
    <n v="1"/>
    <n v="8"/>
    <n v="3"/>
    <n v="3"/>
    <x v="3"/>
    <n v="7"/>
    <n v="0"/>
    <n v="7"/>
  </r>
  <r>
    <n v="37"/>
    <x v="1"/>
    <s v="Travel_Rarely"/>
    <n v="1192"/>
    <x v="1"/>
    <x v="12"/>
    <n v="2"/>
    <s v="Medical"/>
    <n v="1"/>
    <n v="460"/>
    <n v="4"/>
    <x v="1"/>
    <n v="61"/>
    <n v="3"/>
    <x v="0"/>
    <x v="3"/>
    <n v="4"/>
    <s v="Divorced"/>
    <n v="6347"/>
    <n v="23177"/>
    <n v="7"/>
    <s v="Y"/>
    <x v="1"/>
    <n v="16"/>
    <n v="3"/>
    <n v="3"/>
    <n v="80"/>
    <n v="2"/>
    <n v="8"/>
    <n v="2"/>
    <n v="2"/>
    <x v="0"/>
    <n v="2"/>
    <n v="0"/>
    <n v="4"/>
  </r>
  <r>
    <n v="38"/>
    <x v="1"/>
    <s v="Travel_Rarely"/>
    <n v="343"/>
    <x v="1"/>
    <x v="8"/>
    <n v="2"/>
    <s v="Life Sciences"/>
    <n v="1"/>
    <n v="461"/>
    <n v="3"/>
    <x v="1"/>
    <n v="92"/>
    <n v="2"/>
    <x v="2"/>
    <x v="7"/>
    <n v="4"/>
    <s v="Divorced"/>
    <n v="11510"/>
    <n v="15682"/>
    <n v="0"/>
    <s v="Y"/>
    <x v="0"/>
    <n v="14"/>
    <n v="3"/>
    <n v="2"/>
    <n v="80"/>
    <n v="1"/>
    <n v="12"/>
    <n v="3"/>
    <n v="3"/>
    <x v="19"/>
    <n v="10"/>
    <n v="2"/>
    <n v="9"/>
  </r>
  <r>
    <n v="31"/>
    <x v="1"/>
    <s v="Travel_Rarely"/>
    <n v="1232"/>
    <x v="1"/>
    <x v="15"/>
    <n v="4"/>
    <s v="Medical"/>
    <n v="1"/>
    <n v="462"/>
    <n v="3"/>
    <x v="0"/>
    <n v="39"/>
    <n v="3"/>
    <x v="2"/>
    <x v="3"/>
    <n v="4"/>
    <s v="Single"/>
    <n v="7143"/>
    <n v="25713"/>
    <n v="1"/>
    <s v="Y"/>
    <x v="0"/>
    <n v="14"/>
    <n v="3"/>
    <n v="3"/>
    <n v="80"/>
    <n v="0"/>
    <n v="11"/>
    <n v="2"/>
    <n v="2"/>
    <x v="19"/>
    <n v="9"/>
    <n v="4"/>
    <n v="10"/>
  </r>
  <r>
    <n v="29"/>
    <x v="1"/>
    <s v="Travel_Rarely"/>
    <n v="144"/>
    <x v="0"/>
    <x v="17"/>
    <n v="1"/>
    <s v="Marketing"/>
    <n v="1"/>
    <n v="463"/>
    <n v="4"/>
    <x v="0"/>
    <n v="39"/>
    <n v="2"/>
    <x v="0"/>
    <x v="0"/>
    <n v="2"/>
    <s v="Divorced"/>
    <n v="8268"/>
    <n v="11866"/>
    <n v="1"/>
    <s v="Y"/>
    <x v="0"/>
    <n v="14"/>
    <n v="3"/>
    <n v="1"/>
    <n v="80"/>
    <n v="2"/>
    <n v="7"/>
    <n v="2"/>
    <n v="3"/>
    <x v="5"/>
    <n v="7"/>
    <n v="1"/>
    <n v="7"/>
  </r>
  <r>
    <n v="35"/>
    <x v="1"/>
    <s v="Travel_Rarely"/>
    <n v="1296"/>
    <x v="1"/>
    <x v="12"/>
    <n v="4"/>
    <s v="Technical Degree"/>
    <n v="1"/>
    <n v="464"/>
    <n v="3"/>
    <x v="1"/>
    <n v="62"/>
    <n v="3"/>
    <x v="2"/>
    <x v="3"/>
    <n v="2"/>
    <s v="Single"/>
    <n v="8095"/>
    <n v="18264"/>
    <n v="0"/>
    <s v="Y"/>
    <x v="1"/>
    <n v="13"/>
    <n v="3"/>
    <n v="4"/>
    <n v="80"/>
    <n v="0"/>
    <n v="17"/>
    <n v="5"/>
    <n v="3"/>
    <x v="22"/>
    <n v="6"/>
    <n v="0"/>
    <n v="13"/>
  </r>
  <r>
    <n v="23"/>
    <x v="1"/>
    <s v="Travel_Rarely"/>
    <n v="1309"/>
    <x v="1"/>
    <x v="9"/>
    <n v="1"/>
    <s v="Life Sciences"/>
    <n v="1"/>
    <n v="465"/>
    <n v="3"/>
    <x v="1"/>
    <n v="83"/>
    <n v="3"/>
    <x v="1"/>
    <x v="1"/>
    <n v="4"/>
    <s v="Divorced"/>
    <n v="2904"/>
    <n v="16092"/>
    <n v="1"/>
    <s v="Y"/>
    <x v="1"/>
    <n v="12"/>
    <n v="3"/>
    <n v="3"/>
    <n v="80"/>
    <n v="2"/>
    <n v="4"/>
    <n v="2"/>
    <n v="2"/>
    <x v="9"/>
    <n v="2"/>
    <n v="0"/>
    <n v="2"/>
  </r>
  <r>
    <n v="41"/>
    <x v="1"/>
    <s v="Travel_Rarely"/>
    <n v="483"/>
    <x v="1"/>
    <x v="16"/>
    <n v="3"/>
    <s v="Medical"/>
    <n v="1"/>
    <n v="466"/>
    <n v="4"/>
    <x v="1"/>
    <n v="95"/>
    <n v="2"/>
    <x v="0"/>
    <x v="3"/>
    <n v="2"/>
    <s v="Single"/>
    <n v="6032"/>
    <n v="10110"/>
    <n v="6"/>
    <s v="Y"/>
    <x v="0"/>
    <n v="15"/>
    <n v="3"/>
    <n v="4"/>
    <n v="80"/>
    <n v="0"/>
    <n v="8"/>
    <n v="3"/>
    <n v="3"/>
    <x v="8"/>
    <n v="4"/>
    <n v="1"/>
    <n v="2"/>
  </r>
  <r>
    <n v="47"/>
    <x v="1"/>
    <s v="Travel_Frequently"/>
    <n v="1309"/>
    <x v="0"/>
    <x v="18"/>
    <n v="1"/>
    <s v="Medical"/>
    <n v="1"/>
    <n v="467"/>
    <n v="2"/>
    <x v="1"/>
    <n v="99"/>
    <n v="3"/>
    <x v="0"/>
    <x v="6"/>
    <n v="3"/>
    <s v="Single"/>
    <n v="2976"/>
    <n v="25751"/>
    <n v="3"/>
    <s v="Y"/>
    <x v="1"/>
    <n v="19"/>
    <n v="3"/>
    <n v="1"/>
    <n v="80"/>
    <n v="0"/>
    <n v="5"/>
    <n v="3"/>
    <n v="3"/>
    <x v="2"/>
    <n v="0"/>
    <n v="0"/>
    <n v="0"/>
  </r>
  <r>
    <n v="42"/>
    <x v="1"/>
    <s v="Travel_Rarely"/>
    <n v="810"/>
    <x v="1"/>
    <x v="5"/>
    <n v="5"/>
    <s v="Life Sciences"/>
    <n v="1"/>
    <n v="468"/>
    <n v="1"/>
    <x v="0"/>
    <n v="44"/>
    <n v="3"/>
    <x v="3"/>
    <x v="7"/>
    <n v="4"/>
    <s v="Single"/>
    <n v="15992"/>
    <n v="15901"/>
    <n v="2"/>
    <s v="Y"/>
    <x v="1"/>
    <n v="14"/>
    <n v="3"/>
    <n v="2"/>
    <n v="80"/>
    <n v="0"/>
    <n v="16"/>
    <n v="2"/>
    <n v="3"/>
    <x v="6"/>
    <n v="0"/>
    <n v="0"/>
    <n v="0"/>
  </r>
  <r>
    <n v="29"/>
    <x v="1"/>
    <s v="Non-Travel"/>
    <n v="746"/>
    <x v="0"/>
    <x v="2"/>
    <n v="3"/>
    <s v="Life Sciences"/>
    <n v="1"/>
    <n v="469"/>
    <n v="4"/>
    <x v="1"/>
    <n v="61"/>
    <n v="3"/>
    <x v="0"/>
    <x v="0"/>
    <n v="3"/>
    <s v="Married"/>
    <n v="4649"/>
    <n v="16928"/>
    <n v="1"/>
    <s v="Y"/>
    <x v="1"/>
    <n v="14"/>
    <n v="3"/>
    <n v="1"/>
    <n v="80"/>
    <n v="1"/>
    <n v="4"/>
    <n v="3"/>
    <n v="2"/>
    <x v="9"/>
    <n v="3"/>
    <n v="0"/>
    <n v="2"/>
  </r>
  <r>
    <n v="42"/>
    <x v="1"/>
    <s v="Travel_Rarely"/>
    <n v="544"/>
    <x v="2"/>
    <x v="2"/>
    <n v="1"/>
    <s v="Technical Degree"/>
    <n v="1"/>
    <n v="470"/>
    <n v="3"/>
    <x v="1"/>
    <n v="52"/>
    <n v="3"/>
    <x v="1"/>
    <x v="8"/>
    <n v="3"/>
    <s v="Divorced"/>
    <n v="2696"/>
    <n v="24017"/>
    <n v="0"/>
    <s v="Y"/>
    <x v="0"/>
    <n v="11"/>
    <n v="3"/>
    <n v="3"/>
    <n v="80"/>
    <n v="1"/>
    <n v="4"/>
    <n v="5"/>
    <n v="3"/>
    <x v="11"/>
    <n v="2"/>
    <n v="1"/>
    <n v="0"/>
  </r>
  <r>
    <n v="32"/>
    <x v="1"/>
    <s v="Travel_Rarely"/>
    <n v="1062"/>
    <x v="1"/>
    <x v="2"/>
    <n v="3"/>
    <s v="Medical"/>
    <n v="1"/>
    <n v="471"/>
    <n v="3"/>
    <x v="0"/>
    <n v="75"/>
    <n v="3"/>
    <x v="1"/>
    <x v="2"/>
    <n v="2"/>
    <s v="Married"/>
    <n v="2370"/>
    <n v="3956"/>
    <n v="1"/>
    <s v="Y"/>
    <x v="1"/>
    <n v="13"/>
    <n v="3"/>
    <n v="3"/>
    <n v="80"/>
    <n v="1"/>
    <n v="8"/>
    <n v="4"/>
    <n v="3"/>
    <x v="3"/>
    <n v="0"/>
    <n v="0"/>
    <n v="7"/>
  </r>
  <r>
    <n v="48"/>
    <x v="1"/>
    <s v="Travel_Rarely"/>
    <n v="530"/>
    <x v="0"/>
    <x v="22"/>
    <n v="1"/>
    <s v="Medical"/>
    <n v="1"/>
    <n v="473"/>
    <n v="1"/>
    <x v="0"/>
    <n v="91"/>
    <n v="3"/>
    <x v="2"/>
    <x v="5"/>
    <n v="3"/>
    <s v="Married"/>
    <n v="12504"/>
    <n v="23978"/>
    <n v="3"/>
    <s v="Y"/>
    <x v="1"/>
    <n v="21"/>
    <n v="4"/>
    <n v="2"/>
    <n v="80"/>
    <n v="1"/>
    <n v="15"/>
    <n v="3"/>
    <n v="1"/>
    <x v="2"/>
    <n v="0"/>
    <n v="0"/>
    <n v="0"/>
  </r>
  <r>
    <n v="37"/>
    <x v="1"/>
    <s v="Travel_Rarely"/>
    <n v="1319"/>
    <x v="1"/>
    <x v="16"/>
    <n v="3"/>
    <s v="Medical"/>
    <n v="1"/>
    <n v="474"/>
    <n v="3"/>
    <x v="1"/>
    <n v="51"/>
    <n v="4"/>
    <x v="0"/>
    <x v="1"/>
    <n v="1"/>
    <s v="Divorced"/>
    <n v="5974"/>
    <n v="17001"/>
    <n v="4"/>
    <s v="Y"/>
    <x v="0"/>
    <n v="13"/>
    <n v="3"/>
    <n v="1"/>
    <n v="80"/>
    <n v="2"/>
    <n v="13"/>
    <n v="2"/>
    <n v="3"/>
    <x v="5"/>
    <n v="7"/>
    <n v="6"/>
    <n v="7"/>
  </r>
  <r>
    <n v="30"/>
    <x v="1"/>
    <s v="Non-Travel"/>
    <n v="641"/>
    <x v="0"/>
    <x v="19"/>
    <n v="2"/>
    <s v="Technical Degree"/>
    <n v="1"/>
    <n v="475"/>
    <n v="4"/>
    <x v="0"/>
    <n v="85"/>
    <n v="3"/>
    <x v="0"/>
    <x v="0"/>
    <n v="3"/>
    <s v="Married"/>
    <n v="4736"/>
    <n v="6069"/>
    <n v="7"/>
    <s v="Y"/>
    <x v="0"/>
    <n v="12"/>
    <n v="3"/>
    <n v="2"/>
    <n v="80"/>
    <n v="1"/>
    <n v="4"/>
    <n v="2"/>
    <n v="4"/>
    <x v="4"/>
    <n v="2"/>
    <n v="2"/>
    <n v="2"/>
  </r>
  <r>
    <n v="26"/>
    <x v="1"/>
    <s v="Travel_Rarely"/>
    <n v="933"/>
    <x v="0"/>
    <x v="0"/>
    <n v="3"/>
    <s v="Life Sciences"/>
    <n v="1"/>
    <n v="476"/>
    <n v="3"/>
    <x v="1"/>
    <n v="57"/>
    <n v="3"/>
    <x v="0"/>
    <x v="0"/>
    <n v="3"/>
    <s v="Married"/>
    <n v="5296"/>
    <n v="20156"/>
    <n v="1"/>
    <s v="Y"/>
    <x v="1"/>
    <n v="17"/>
    <n v="3"/>
    <n v="2"/>
    <n v="80"/>
    <n v="1"/>
    <n v="8"/>
    <n v="3"/>
    <n v="3"/>
    <x v="3"/>
    <n v="7"/>
    <n v="7"/>
    <n v="7"/>
  </r>
  <r>
    <n v="42"/>
    <x v="1"/>
    <s v="Travel_Rarely"/>
    <n v="1332"/>
    <x v="1"/>
    <x v="2"/>
    <n v="4"/>
    <s v="Other"/>
    <n v="1"/>
    <n v="477"/>
    <n v="1"/>
    <x v="1"/>
    <n v="98"/>
    <n v="2"/>
    <x v="0"/>
    <x v="4"/>
    <n v="4"/>
    <s v="Single"/>
    <n v="6781"/>
    <n v="17078"/>
    <n v="3"/>
    <s v="Y"/>
    <x v="1"/>
    <n v="23"/>
    <n v="4"/>
    <n v="2"/>
    <n v="80"/>
    <n v="0"/>
    <n v="14"/>
    <n v="6"/>
    <n v="3"/>
    <x v="6"/>
    <n v="0"/>
    <n v="0"/>
    <n v="0"/>
  </r>
  <r>
    <n v="21"/>
    <x v="0"/>
    <s v="Travel_Frequently"/>
    <n v="756"/>
    <x v="0"/>
    <x v="0"/>
    <n v="1"/>
    <s v="Technical Degree"/>
    <n v="1"/>
    <n v="478"/>
    <n v="1"/>
    <x v="0"/>
    <n v="99"/>
    <n v="2"/>
    <x v="1"/>
    <x v="6"/>
    <n v="2"/>
    <s v="Single"/>
    <n v="2174"/>
    <n v="9150"/>
    <n v="1"/>
    <s v="Y"/>
    <x v="0"/>
    <n v="11"/>
    <n v="3"/>
    <n v="3"/>
    <n v="80"/>
    <n v="0"/>
    <n v="3"/>
    <n v="3"/>
    <n v="3"/>
    <x v="11"/>
    <n v="2"/>
    <n v="1"/>
    <n v="2"/>
  </r>
  <r>
    <n v="36"/>
    <x v="1"/>
    <s v="Non-Travel"/>
    <n v="845"/>
    <x v="0"/>
    <x v="0"/>
    <n v="5"/>
    <s v="Medical"/>
    <n v="1"/>
    <n v="479"/>
    <n v="4"/>
    <x v="0"/>
    <n v="45"/>
    <n v="3"/>
    <x v="0"/>
    <x v="0"/>
    <n v="4"/>
    <s v="Single"/>
    <n v="6653"/>
    <n v="15276"/>
    <n v="4"/>
    <s v="Y"/>
    <x v="1"/>
    <n v="15"/>
    <n v="3"/>
    <n v="2"/>
    <n v="80"/>
    <n v="0"/>
    <n v="7"/>
    <n v="6"/>
    <n v="3"/>
    <x v="6"/>
    <n v="0"/>
    <n v="0"/>
    <n v="0"/>
  </r>
  <r>
    <n v="36"/>
    <x v="1"/>
    <s v="Travel_Frequently"/>
    <n v="541"/>
    <x v="0"/>
    <x v="3"/>
    <n v="4"/>
    <s v="Medical"/>
    <n v="1"/>
    <n v="481"/>
    <n v="1"/>
    <x v="1"/>
    <n v="48"/>
    <n v="2"/>
    <x v="2"/>
    <x v="0"/>
    <n v="4"/>
    <s v="Married"/>
    <n v="9699"/>
    <n v="7246"/>
    <n v="4"/>
    <s v="Y"/>
    <x v="1"/>
    <n v="11"/>
    <n v="3"/>
    <n v="1"/>
    <n v="80"/>
    <n v="1"/>
    <n v="16"/>
    <n v="2"/>
    <n v="3"/>
    <x v="20"/>
    <n v="9"/>
    <n v="1"/>
    <n v="12"/>
  </r>
  <r>
    <n v="57"/>
    <x v="1"/>
    <s v="Travel_Rarely"/>
    <n v="593"/>
    <x v="1"/>
    <x v="0"/>
    <n v="4"/>
    <s v="Medical"/>
    <n v="1"/>
    <n v="482"/>
    <n v="4"/>
    <x v="1"/>
    <n v="88"/>
    <n v="3"/>
    <x v="0"/>
    <x v="4"/>
    <n v="3"/>
    <s v="Married"/>
    <n v="6755"/>
    <n v="2967"/>
    <n v="2"/>
    <s v="Y"/>
    <x v="1"/>
    <n v="11"/>
    <n v="3"/>
    <n v="3"/>
    <n v="80"/>
    <n v="0"/>
    <n v="15"/>
    <n v="2"/>
    <n v="3"/>
    <x v="11"/>
    <n v="2"/>
    <n v="1"/>
    <n v="2"/>
  </r>
  <r>
    <n v="40"/>
    <x v="1"/>
    <s v="Travel_Rarely"/>
    <n v="1171"/>
    <x v="1"/>
    <x v="17"/>
    <n v="4"/>
    <s v="Life Sciences"/>
    <n v="1"/>
    <n v="483"/>
    <n v="4"/>
    <x v="0"/>
    <n v="46"/>
    <n v="4"/>
    <x v="1"/>
    <x v="2"/>
    <n v="3"/>
    <s v="Married"/>
    <n v="2213"/>
    <n v="22495"/>
    <n v="3"/>
    <s v="Y"/>
    <x v="0"/>
    <n v="13"/>
    <n v="3"/>
    <n v="3"/>
    <n v="80"/>
    <n v="1"/>
    <n v="10"/>
    <n v="3"/>
    <n v="3"/>
    <x v="5"/>
    <n v="7"/>
    <n v="1"/>
    <n v="7"/>
  </r>
  <r>
    <n v="21"/>
    <x v="1"/>
    <s v="Non-Travel"/>
    <n v="895"/>
    <x v="0"/>
    <x v="14"/>
    <n v="2"/>
    <s v="Medical"/>
    <n v="1"/>
    <n v="484"/>
    <n v="1"/>
    <x v="1"/>
    <n v="39"/>
    <n v="3"/>
    <x v="1"/>
    <x v="6"/>
    <n v="4"/>
    <s v="Single"/>
    <n v="2610"/>
    <n v="2851"/>
    <n v="1"/>
    <s v="Y"/>
    <x v="1"/>
    <n v="24"/>
    <n v="4"/>
    <n v="3"/>
    <n v="80"/>
    <n v="0"/>
    <n v="3"/>
    <n v="3"/>
    <n v="2"/>
    <x v="11"/>
    <n v="2"/>
    <n v="2"/>
    <n v="2"/>
  </r>
  <r>
    <n v="33"/>
    <x v="0"/>
    <s v="Travel_Rarely"/>
    <n v="350"/>
    <x v="0"/>
    <x v="12"/>
    <n v="3"/>
    <s v="Marketing"/>
    <n v="1"/>
    <n v="485"/>
    <n v="4"/>
    <x v="0"/>
    <n v="34"/>
    <n v="3"/>
    <x v="1"/>
    <x v="6"/>
    <n v="3"/>
    <s v="Single"/>
    <n v="2851"/>
    <n v="9150"/>
    <n v="1"/>
    <s v="Y"/>
    <x v="0"/>
    <n v="13"/>
    <n v="3"/>
    <n v="2"/>
    <n v="80"/>
    <n v="0"/>
    <n v="1"/>
    <n v="2"/>
    <n v="3"/>
    <x v="6"/>
    <n v="0"/>
    <n v="0"/>
    <n v="0"/>
  </r>
  <r>
    <n v="37"/>
    <x v="1"/>
    <s v="Travel_Rarely"/>
    <n v="921"/>
    <x v="1"/>
    <x v="17"/>
    <n v="3"/>
    <s v="Medical"/>
    <n v="1"/>
    <n v="486"/>
    <n v="3"/>
    <x v="0"/>
    <n v="98"/>
    <n v="3"/>
    <x v="1"/>
    <x v="2"/>
    <n v="1"/>
    <s v="Married"/>
    <n v="3452"/>
    <n v="17663"/>
    <n v="6"/>
    <s v="Y"/>
    <x v="1"/>
    <n v="20"/>
    <n v="4"/>
    <n v="2"/>
    <n v="80"/>
    <n v="1"/>
    <n v="17"/>
    <n v="3"/>
    <n v="3"/>
    <x v="8"/>
    <n v="4"/>
    <n v="0"/>
    <n v="3"/>
  </r>
  <r>
    <n v="46"/>
    <x v="1"/>
    <s v="Non-Travel"/>
    <n v="1144"/>
    <x v="1"/>
    <x v="15"/>
    <n v="4"/>
    <s v="Medical"/>
    <n v="1"/>
    <n v="487"/>
    <n v="3"/>
    <x v="0"/>
    <n v="30"/>
    <n v="3"/>
    <x v="0"/>
    <x v="3"/>
    <n v="3"/>
    <s v="Married"/>
    <n v="5258"/>
    <n v="16044"/>
    <n v="2"/>
    <s v="Y"/>
    <x v="1"/>
    <n v="14"/>
    <n v="3"/>
    <n v="3"/>
    <n v="80"/>
    <n v="0"/>
    <n v="7"/>
    <n v="2"/>
    <n v="4"/>
    <x v="6"/>
    <n v="0"/>
    <n v="0"/>
    <n v="0"/>
  </r>
  <r>
    <n v="41"/>
    <x v="0"/>
    <s v="Travel_Frequently"/>
    <n v="143"/>
    <x v="0"/>
    <x v="18"/>
    <n v="3"/>
    <s v="Marketing"/>
    <n v="1"/>
    <n v="488"/>
    <n v="1"/>
    <x v="1"/>
    <n v="56"/>
    <n v="3"/>
    <x v="0"/>
    <x v="0"/>
    <n v="2"/>
    <s v="Single"/>
    <n v="9355"/>
    <n v="9558"/>
    <n v="1"/>
    <s v="Y"/>
    <x v="1"/>
    <n v="18"/>
    <n v="3"/>
    <n v="3"/>
    <n v="80"/>
    <n v="0"/>
    <n v="8"/>
    <n v="5"/>
    <n v="3"/>
    <x v="3"/>
    <n v="7"/>
    <n v="7"/>
    <n v="7"/>
  </r>
  <r>
    <n v="50"/>
    <x v="1"/>
    <s v="Travel_Rarely"/>
    <n v="1046"/>
    <x v="1"/>
    <x v="17"/>
    <n v="3"/>
    <s v="Technical Degree"/>
    <n v="1"/>
    <n v="491"/>
    <n v="4"/>
    <x v="1"/>
    <n v="100"/>
    <n v="2"/>
    <x v="2"/>
    <x v="4"/>
    <n v="4"/>
    <s v="Single"/>
    <n v="10496"/>
    <n v="2755"/>
    <n v="6"/>
    <s v="Y"/>
    <x v="1"/>
    <n v="15"/>
    <n v="3"/>
    <n v="4"/>
    <n v="80"/>
    <n v="0"/>
    <n v="20"/>
    <n v="2"/>
    <n v="3"/>
    <x v="9"/>
    <n v="3"/>
    <n v="1"/>
    <n v="3"/>
  </r>
  <r>
    <n v="40"/>
    <x v="0"/>
    <s v="Travel_Rarely"/>
    <n v="575"/>
    <x v="0"/>
    <x v="23"/>
    <n v="2"/>
    <s v="Marketing"/>
    <n v="1"/>
    <n v="492"/>
    <n v="3"/>
    <x v="1"/>
    <n v="68"/>
    <n v="2"/>
    <x v="0"/>
    <x v="0"/>
    <n v="3"/>
    <s v="Married"/>
    <n v="6380"/>
    <n v="6110"/>
    <n v="2"/>
    <s v="Y"/>
    <x v="0"/>
    <n v="12"/>
    <n v="3"/>
    <n v="1"/>
    <n v="80"/>
    <n v="2"/>
    <n v="8"/>
    <n v="6"/>
    <n v="3"/>
    <x v="0"/>
    <n v="4"/>
    <n v="1"/>
    <n v="0"/>
  </r>
  <r>
    <n v="31"/>
    <x v="1"/>
    <s v="Travel_Rarely"/>
    <n v="408"/>
    <x v="1"/>
    <x v="14"/>
    <n v="4"/>
    <s v="Life Sciences"/>
    <n v="1"/>
    <n v="493"/>
    <n v="3"/>
    <x v="1"/>
    <n v="42"/>
    <n v="2"/>
    <x v="1"/>
    <x v="1"/>
    <n v="2"/>
    <s v="Single"/>
    <n v="2657"/>
    <n v="7551"/>
    <n v="0"/>
    <s v="Y"/>
    <x v="0"/>
    <n v="16"/>
    <n v="3"/>
    <n v="4"/>
    <n v="80"/>
    <n v="0"/>
    <n v="3"/>
    <n v="5"/>
    <n v="3"/>
    <x v="4"/>
    <n v="2"/>
    <n v="2"/>
    <n v="2"/>
  </r>
  <r>
    <n v="21"/>
    <x v="0"/>
    <s v="Travel_Rarely"/>
    <n v="156"/>
    <x v="0"/>
    <x v="20"/>
    <n v="3"/>
    <s v="Life Sciences"/>
    <n v="1"/>
    <n v="494"/>
    <n v="3"/>
    <x v="0"/>
    <n v="90"/>
    <n v="4"/>
    <x v="1"/>
    <x v="6"/>
    <n v="2"/>
    <s v="Single"/>
    <n v="2716"/>
    <n v="25422"/>
    <n v="1"/>
    <s v="Y"/>
    <x v="1"/>
    <n v="15"/>
    <n v="3"/>
    <n v="4"/>
    <n v="80"/>
    <n v="0"/>
    <n v="1"/>
    <n v="0"/>
    <n v="3"/>
    <x v="6"/>
    <n v="0"/>
    <n v="0"/>
    <n v="0"/>
  </r>
  <r>
    <n v="29"/>
    <x v="1"/>
    <s v="Travel_Rarely"/>
    <n v="1283"/>
    <x v="1"/>
    <x v="5"/>
    <n v="3"/>
    <s v="Life Sciences"/>
    <n v="1"/>
    <n v="495"/>
    <n v="4"/>
    <x v="1"/>
    <n v="54"/>
    <n v="3"/>
    <x v="1"/>
    <x v="1"/>
    <n v="4"/>
    <s v="Single"/>
    <n v="2201"/>
    <n v="18168"/>
    <n v="9"/>
    <s v="Y"/>
    <x v="1"/>
    <n v="16"/>
    <n v="3"/>
    <n v="4"/>
    <n v="80"/>
    <n v="0"/>
    <n v="6"/>
    <n v="4"/>
    <n v="3"/>
    <x v="11"/>
    <n v="2"/>
    <n v="1"/>
    <n v="2"/>
  </r>
  <r>
    <n v="35"/>
    <x v="1"/>
    <s v="Travel_Rarely"/>
    <n v="755"/>
    <x v="1"/>
    <x v="14"/>
    <n v="4"/>
    <s v="Life Sciences"/>
    <n v="1"/>
    <n v="496"/>
    <n v="3"/>
    <x v="1"/>
    <n v="97"/>
    <n v="2"/>
    <x v="0"/>
    <x v="4"/>
    <n v="2"/>
    <s v="Single"/>
    <n v="6540"/>
    <n v="19394"/>
    <n v="9"/>
    <s v="Y"/>
    <x v="1"/>
    <n v="19"/>
    <n v="3"/>
    <n v="3"/>
    <n v="80"/>
    <n v="0"/>
    <n v="10"/>
    <n v="5"/>
    <n v="3"/>
    <x v="6"/>
    <n v="1"/>
    <n v="0"/>
    <n v="0"/>
  </r>
  <r>
    <n v="27"/>
    <x v="1"/>
    <s v="Travel_Rarely"/>
    <n v="1469"/>
    <x v="1"/>
    <x v="0"/>
    <n v="2"/>
    <s v="Medical"/>
    <n v="1"/>
    <n v="497"/>
    <n v="4"/>
    <x v="1"/>
    <n v="82"/>
    <n v="3"/>
    <x v="1"/>
    <x v="2"/>
    <n v="2"/>
    <s v="Divorced"/>
    <n v="3816"/>
    <n v="17881"/>
    <n v="1"/>
    <s v="Y"/>
    <x v="1"/>
    <n v="11"/>
    <n v="3"/>
    <n v="2"/>
    <n v="80"/>
    <n v="1"/>
    <n v="5"/>
    <n v="2"/>
    <n v="3"/>
    <x v="8"/>
    <n v="2"/>
    <n v="0"/>
    <n v="4"/>
  </r>
  <r>
    <n v="28"/>
    <x v="1"/>
    <s v="Travel_Rarely"/>
    <n v="304"/>
    <x v="0"/>
    <x v="14"/>
    <n v="4"/>
    <s v="Life Sciences"/>
    <n v="1"/>
    <n v="498"/>
    <n v="2"/>
    <x v="1"/>
    <n v="92"/>
    <n v="3"/>
    <x v="0"/>
    <x v="0"/>
    <n v="4"/>
    <s v="Single"/>
    <n v="5253"/>
    <n v="20750"/>
    <n v="1"/>
    <s v="Y"/>
    <x v="1"/>
    <n v="16"/>
    <n v="3"/>
    <n v="4"/>
    <n v="80"/>
    <n v="0"/>
    <n v="7"/>
    <n v="1"/>
    <n v="3"/>
    <x v="5"/>
    <n v="5"/>
    <n v="0"/>
    <n v="7"/>
  </r>
  <r>
    <n v="49"/>
    <x v="1"/>
    <s v="Travel_Rarely"/>
    <n v="1261"/>
    <x v="1"/>
    <x v="15"/>
    <n v="3"/>
    <s v="Other"/>
    <n v="1"/>
    <n v="499"/>
    <n v="2"/>
    <x v="1"/>
    <n v="31"/>
    <n v="2"/>
    <x v="2"/>
    <x v="4"/>
    <n v="3"/>
    <s v="Single"/>
    <n v="10965"/>
    <n v="12066"/>
    <n v="8"/>
    <s v="Y"/>
    <x v="1"/>
    <n v="24"/>
    <n v="4"/>
    <n v="3"/>
    <n v="80"/>
    <n v="0"/>
    <n v="26"/>
    <n v="2"/>
    <n v="3"/>
    <x v="8"/>
    <n v="2"/>
    <n v="0"/>
    <n v="0"/>
  </r>
  <r>
    <n v="51"/>
    <x v="1"/>
    <s v="Travel_Rarely"/>
    <n v="1178"/>
    <x v="0"/>
    <x v="24"/>
    <n v="2"/>
    <s v="Life Sciences"/>
    <n v="1"/>
    <n v="500"/>
    <n v="3"/>
    <x v="0"/>
    <n v="87"/>
    <n v="3"/>
    <x v="0"/>
    <x v="0"/>
    <n v="4"/>
    <s v="Married"/>
    <n v="4936"/>
    <n v="14862"/>
    <n v="4"/>
    <s v="Y"/>
    <x v="1"/>
    <n v="11"/>
    <n v="3"/>
    <n v="3"/>
    <n v="80"/>
    <n v="1"/>
    <n v="18"/>
    <n v="2"/>
    <n v="2"/>
    <x v="5"/>
    <n v="7"/>
    <n v="0"/>
    <n v="7"/>
  </r>
  <r>
    <n v="36"/>
    <x v="1"/>
    <s v="Travel_Rarely"/>
    <n v="329"/>
    <x v="1"/>
    <x v="2"/>
    <n v="3"/>
    <s v="Life Sciences"/>
    <n v="1"/>
    <n v="501"/>
    <n v="4"/>
    <x v="0"/>
    <n v="96"/>
    <n v="3"/>
    <x v="1"/>
    <x v="1"/>
    <n v="3"/>
    <s v="Married"/>
    <n v="2543"/>
    <n v="11868"/>
    <n v="4"/>
    <s v="Y"/>
    <x v="1"/>
    <n v="13"/>
    <n v="3"/>
    <n v="2"/>
    <n v="80"/>
    <n v="1"/>
    <n v="6"/>
    <n v="3"/>
    <n v="3"/>
    <x v="4"/>
    <n v="2"/>
    <n v="2"/>
    <n v="2"/>
  </r>
  <r>
    <n v="34"/>
    <x v="0"/>
    <s v="Non-Travel"/>
    <n v="1362"/>
    <x v="0"/>
    <x v="10"/>
    <n v="3"/>
    <s v="Marketing"/>
    <n v="1"/>
    <n v="502"/>
    <n v="1"/>
    <x v="1"/>
    <n v="67"/>
    <n v="4"/>
    <x v="0"/>
    <x v="0"/>
    <n v="4"/>
    <s v="Single"/>
    <n v="5304"/>
    <n v="4652"/>
    <n v="8"/>
    <s v="Y"/>
    <x v="0"/>
    <n v="13"/>
    <n v="3"/>
    <n v="2"/>
    <n v="80"/>
    <n v="0"/>
    <n v="9"/>
    <n v="3"/>
    <n v="2"/>
    <x v="8"/>
    <n v="2"/>
    <n v="0"/>
    <n v="4"/>
  </r>
  <r>
    <n v="55"/>
    <x v="1"/>
    <s v="Travel_Rarely"/>
    <n v="1311"/>
    <x v="1"/>
    <x v="2"/>
    <n v="3"/>
    <s v="Life Sciences"/>
    <n v="1"/>
    <n v="505"/>
    <n v="3"/>
    <x v="0"/>
    <n v="97"/>
    <n v="3"/>
    <x v="3"/>
    <x v="5"/>
    <n v="4"/>
    <s v="Single"/>
    <n v="16659"/>
    <n v="23258"/>
    <n v="2"/>
    <s v="Y"/>
    <x v="0"/>
    <n v="13"/>
    <n v="3"/>
    <n v="3"/>
    <n v="80"/>
    <n v="0"/>
    <n v="30"/>
    <n v="2"/>
    <n v="3"/>
    <x v="8"/>
    <n v="4"/>
    <n v="1"/>
    <n v="2"/>
  </r>
  <r>
    <n v="24"/>
    <x v="1"/>
    <s v="Travel_Rarely"/>
    <n v="1371"/>
    <x v="0"/>
    <x v="17"/>
    <n v="4"/>
    <s v="Marketing"/>
    <n v="1"/>
    <n v="507"/>
    <n v="4"/>
    <x v="0"/>
    <n v="77"/>
    <n v="3"/>
    <x v="0"/>
    <x v="0"/>
    <n v="3"/>
    <s v="Divorced"/>
    <n v="4260"/>
    <n v="5915"/>
    <n v="1"/>
    <s v="Y"/>
    <x v="0"/>
    <n v="12"/>
    <n v="3"/>
    <n v="4"/>
    <n v="80"/>
    <n v="1"/>
    <n v="5"/>
    <n v="2"/>
    <n v="4"/>
    <x v="8"/>
    <n v="2"/>
    <n v="0"/>
    <n v="3"/>
  </r>
  <r>
    <n v="30"/>
    <x v="1"/>
    <s v="Travel_Rarely"/>
    <n v="202"/>
    <x v="0"/>
    <x v="2"/>
    <n v="1"/>
    <s v="Technical Degree"/>
    <n v="1"/>
    <n v="508"/>
    <n v="3"/>
    <x v="1"/>
    <n v="72"/>
    <n v="3"/>
    <x v="1"/>
    <x v="6"/>
    <n v="2"/>
    <s v="Married"/>
    <n v="2476"/>
    <n v="17434"/>
    <n v="1"/>
    <s v="Y"/>
    <x v="1"/>
    <n v="18"/>
    <n v="3"/>
    <n v="1"/>
    <n v="80"/>
    <n v="1"/>
    <n v="1"/>
    <n v="3"/>
    <n v="3"/>
    <x v="6"/>
    <n v="0"/>
    <n v="0"/>
    <n v="0"/>
  </r>
  <r>
    <n v="26"/>
    <x v="0"/>
    <s v="Travel_Frequently"/>
    <n v="575"/>
    <x v="1"/>
    <x v="3"/>
    <n v="1"/>
    <s v="Technical Degree"/>
    <n v="1"/>
    <n v="510"/>
    <n v="3"/>
    <x v="1"/>
    <n v="73"/>
    <n v="3"/>
    <x v="1"/>
    <x v="1"/>
    <n v="1"/>
    <s v="Single"/>
    <n v="3102"/>
    <n v="6582"/>
    <n v="0"/>
    <s v="Y"/>
    <x v="1"/>
    <n v="22"/>
    <n v="4"/>
    <n v="3"/>
    <n v="80"/>
    <n v="0"/>
    <n v="7"/>
    <n v="2"/>
    <n v="3"/>
    <x v="0"/>
    <n v="4"/>
    <n v="0"/>
    <n v="4"/>
  </r>
  <r>
    <n v="22"/>
    <x v="1"/>
    <s v="Travel_Rarely"/>
    <n v="253"/>
    <x v="1"/>
    <x v="13"/>
    <n v="3"/>
    <s v="Medical"/>
    <n v="1"/>
    <n v="511"/>
    <n v="1"/>
    <x v="0"/>
    <n v="43"/>
    <n v="3"/>
    <x v="1"/>
    <x v="1"/>
    <n v="2"/>
    <s v="Married"/>
    <n v="2244"/>
    <n v="24440"/>
    <n v="1"/>
    <s v="Y"/>
    <x v="1"/>
    <n v="13"/>
    <n v="3"/>
    <n v="4"/>
    <n v="80"/>
    <n v="1"/>
    <n v="2"/>
    <n v="1"/>
    <n v="3"/>
    <x v="4"/>
    <n v="1"/>
    <n v="1"/>
    <n v="2"/>
  </r>
  <r>
    <n v="36"/>
    <x v="1"/>
    <s v="Travel_Rarely"/>
    <n v="164"/>
    <x v="0"/>
    <x v="2"/>
    <n v="2"/>
    <s v="Medical"/>
    <n v="1"/>
    <n v="513"/>
    <n v="2"/>
    <x v="1"/>
    <n v="61"/>
    <n v="2"/>
    <x v="2"/>
    <x v="0"/>
    <n v="3"/>
    <s v="Married"/>
    <n v="7596"/>
    <n v="3809"/>
    <n v="1"/>
    <s v="Y"/>
    <x v="1"/>
    <n v="13"/>
    <n v="3"/>
    <n v="2"/>
    <n v="80"/>
    <n v="2"/>
    <n v="10"/>
    <n v="2"/>
    <n v="3"/>
    <x v="1"/>
    <n v="9"/>
    <n v="9"/>
    <n v="0"/>
  </r>
  <r>
    <n v="30"/>
    <x v="0"/>
    <s v="Travel_Frequently"/>
    <n v="464"/>
    <x v="1"/>
    <x v="18"/>
    <n v="3"/>
    <s v="Technical Degree"/>
    <n v="1"/>
    <n v="514"/>
    <n v="3"/>
    <x v="1"/>
    <n v="40"/>
    <n v="3"/>
    <x v="1"/>
    <x v="1"/>
    <n v="4"/>
    <s v="Single"/>
    <n v="2285"/>
    <n v="3427"/>
    <n v="9"/>
    <s v="Y"/>
    <x v="0"/>
    <n v="23"/>
    <n v="4"/>
    <n v="3"/>
    <n v="80"/>
    <n v="0"/>
    <n v="3"/>
    <n v="4"/>
    <n v="3"/>
    <x v="6"/>
    <n v="0"/>
    <n v="0"/>
    <n v="0"/>
  </r>
  <r>
    <n v="37"/>
    <x v="1"/>
    <s v="Travel_Rarely"/>
    <n v="1107"/>
    <x v="1"/>
    <x v="24"/>
    <n v="3"/>
    <s v="Life Sciences"/>
    <n v="1"/>
    <n v="515"/>
    <n v="4"/>
    <x v="0"/>
    <n v="95"/>
    <n v="3"/>
    <x v="1"/>
    <x v="2"/>
    <n v="1"/>
    <s v="Divorced"/>
    <n v="3034"/>
    <n v="26914"/>
    <n v="1"/>
    <s v="Y"/>
    <x v="1"/>
    <n v="12"/>
    <n v="3"/>
    <n v="3"/>
    <n v="80"/>
    <n v="1"/>
    <n v="18"/>
    <n v="2"/>
    <n v="2"/>
    <x v="29"/>
    <n v="7"/>
    <n v="12"/>
    <n v="17"/>
  </r>
  <r>
    <n v="40"/>
    <x v="1"/>
    <s v="Travel_Rarely"/>
    <n v="759"/>
    <x v="0"/>
    <x v="2"/>
    <n v="2"/>
    <s v="Marketing"/>
    <n v="1"/>
    <n v="516"/>
    <n v="4"/>
    <x v="0"/>
    <n v="46"/>
    <n v="3"/>
    <x v="0"/>
    <x v="0"/>
    <n v="2"/>
    <s v="Divorced"/>
    <n v="5715"/>
    <n v="22553"/>
    <n v="7"/>
    <s v="Y"/>
    <x v="1"/>
    <n v="12"/>
    <n v="3"/>
    <n v="3"/>
    <n v="80"/>
    <n v="2"/>
    <n v="8"/>
    <n v="5"/>
    <n v="3"/>
    <x v="8"/>
    <n v="4"/>
    <n v="1"/>
    <n v="3"/>
  </r>
  <r>
    <n v="42"/>
    <x v="1"/>
    <s v="Travel_Rarely"/>
    <n v="201"/>
    <x v="1"/>
    <x v="0"/>
    <n v="4"/>
    <s v="Life Sciences"/>
    <n v="1"/>
    <n v="517"/>
    <n v="2"/>
    <x v="0"/>
    <n v="95"/>
    <n v="3"/>
    <x v="1"/>
    <x v="2"/>
    <n v="1"/>
    <s v="Divorced"/>
    <n v="2576"/>
    <n v="20490"/>
    <n v="3"/>
    <s v="Y"/>
    <x v="1"/>
    <n v="16"/>
    <n v="3"/>
    <n v="2"/>
    <n v="80"/>
    <n v="1"/>
    <n v="8"/>
    <n v="5"/>
    <n v="3"/>
    <x v="8"/>
    <n v="2"/>
    <n v="1"/>
    <n v="2"/>
  </r>
  <r>
    <n v="37"/>
    <x v="1"/>
    <s v="Travel_Rarely"/>
    <n v="1305"/>
    <x v="1"/>
    <x v="17"/>
    <n v="4"/>
    <s v="Life Sciences"/>
    <n v="1"/>
    <n v="518"/>
    <n v="3"/>
    <x v="1"/>
    <n v="49"/>
    <n v="3"/>
    <x v="0"/>
    <x v="3"/>
    <n v="2"/>
    <s v="Single"/>
    <n v="4197"/>
    <n v="21123"/>
    <n v="2"/>
    <s v="Y"/>
    <x v="0"/>
    <n v="12"/>
    <n v="3"/>
    <n v="4"/>
    <n v="80"/>
    <n v="0"/>
    <n v="18"/>
    <n v="2"/>
    <n v="2"/>
    <x v="6"/>
    <n v="0"/>
    <n v="0"/>
    <n v="1"/>
  </r>
  <r>
    <n v="43"/>
    <x v="1"/>
    <s v="Travel_Rarely"/>
    <n v="982"/>
    <x v="1"/>
    <x v="20"/>
    <n v="3"/>
    <s v="Life Sciences"/>
    <n v="1"/>
    <n v="520"/>
    <n v="1"/>
    <x v="1"/>
    <n v="59"/>
    <n v="2"/>
    <x v="3"/>
    <x v="7"/>
    <n v="2"/>
    <s v="Divorced"/>
    <n v="14336"/>
    <n v="4345"/>
    <n v="1"/>
    <s v="Y"/>
    <x v="1"/>
    <n v="11"/>
    <n v="3"/>
    <n v="3"/>
    <n v="80"/>
    <n v="1"/>
    <n v="25"/>
    <n v="3"/>
    <n v="3"/>
    <x v="10"/>
    <n v="10"/>
    <n v="3"/>
    <n v="9"/>
  </r>
  <r>
    <n v="40"/>
    <x v="1"/>
    <s v="Travel_Rarely"/>
    <n v="555"/>
    <x v="1"/>
    <x v="2"/>
    <n v="3"/>
    <s v="Medical"/>
    <n v="1"/>
    <n v="521"/>
    <n v="2"/>
    <x v="0"/>
    <n v="78"/>
    <n v="2"/>
    <x v="0"/>
    <x v="2"/>
    <n v="3"/>
    <s v="Married"/>
    <n v="3448"/>
    <n v="13436"/>
    <n v="6"/>
    <s v="Y"/>
    <x v="1"/>
    <n v="22"/>
    <n v="4"/>
    <n v="2"/>
    <n v="80"/>
    <n v="1"/>
    <n v="20"/>
    <n v="3"/>
    <n v="3"/>
    <x v="6"/>
    <n v="0"/>
    <n v="0"/>
    <n v="0"/>
  </r>
  <r>
    <n v="54"/>
    <x v="1"/>
    <s v="Travel_Rarely"/>
    <n v="821"/>
    <x v="1"/>
    <x v="12"/>
    <n v="2"/>
    <s v="Medical"/>
    <n v="1"/>
    <n v="522"/>
    <n v="1"/>
    <x v="1"/>
    <n v="86"/>
    <n v="3"/>
    <x v="4"/>
    <x v="7"/>
    <n v="1"/>
    <s v="Married"/>
    <n v="19406"/>
    <n v="8509"/>
    <n v="4"/>
    <s v="Y"/>
    <x v="1"/>
    <n v="11"/>
    <n v="3"/>
    <n v="3"/>
    <n v="80"/>
    <n v="1"/>
    <n v="24"/>
    <n v="4"/>
    <n v="2"/>
    <x v="9"/>
    <n v="2"/>
    <n v="1"/>
    <n v="2"/>
  </r>
  <r>
    <n v="34"/>
    <x v="1"/>
    <s v="Non-Travel"/>
    <n v="1381"/>
    <x v="0"/>
    <x v="18"/>
    <n v="4"/>
    <s v="Marketing"/>
    <n v="1"/>
    <n v="523"/>
    <n v="3"/>
    <x v="0"/>
    <n v="72"/>
    <n v="3"/>
    <x v="0"/>
    <x v="0"/>
    <n v="3"/>
    <s v="Married"/>
    <n v="6538"/>
    <n v="12740"/>
    <n v="9"/>
    <s v="Y"/>
    <x v="1"/>
    <n v="15"/>
    <n v="3"/>
    <n v="1"/>
    <n v="80"/>
    <n v="1"/>
    <n v="6"/>
    <n v="3"/>
    <n v="3"/>
    <x v="11"/>
    <n v="2"/>
    <n v="1"/>
    <n v="2"/>
  </r>
  <r>
    <n v="31"/>
    <x v="1"/>
    <s v="Travel_Rarely"/>
    <n v="480"/>
    <x v="1"/>
    <x v="15"/>
    <n v="2"/>
    <s v="Medical"/>
    <n v="1"/>
    <n v="524"/>
    <n v="2"/>
    <x v="0"/>
    <n v="31"/>
    <n v="3"/>
    <x v="0"/>
    <x v="3"/>
    <n v="1"/>
    <s v="Married"/>
    <n v="4306"/>
    <n v="4156"/>
    <n v="1"/>
    <s v="Y"/>
    <x v="1"/>
    <n v="12"/>
    <n v="3"/>
    <n v="2"/>
    <n v="80"/>
    <n v="1"/>
    <n v="13"/>
    <n v="5"/>
    <n v="1"/>
    <x v="20"/>
    <n v="10"/>
    <n v="3"/>
    <n v="12"/>
  </r>
  <r>
    <n v="43"/>
    <x v="1"/>
    <s v="Travel_Frequently"/>
    <n v="313"/>
    <x v="1"/>
    <x v="11"/>
    <n v="3"/>
    <s v="Medical"/>
    <n v="1"/>
    <n v="525"/>
    <n v="4"/>
    <x v="1"/>
    <n v="61"/>
    <n v="3"/>
    <x v="1"/>
    <x v="2"/>
    <n v="4"/>
    <s v="Married"/>
    <n v="2258"/>
    <n v="15238"/>
    <n v="7"/>
    <s v="Y"/>
    <x v="1"/>
    <n v="20"/>
    <n v="4"/>
    <n v="1"/>
    <n v="80"/>
    <n v="1"/>
    <n v="8"/>
    <n v="1"/>
    <n v="3"/>
    <x v="11"/>
    <n v="2"/>
    <n v="1"/>
    <n v="2"/>
  </r>
  <r>
    <n v="43"/>
    <x v="1"/>
    <s v="Travel_Rarely"/>
    <n v="1473"/>
    <x v="1"/>
    <x v="1"/>
    <n v="4"/>
    <s v="Other"/>
    <n v="1"/>
    <n v="526"/>
    <n v="3"/>
    <x v="0"/>
    <n v="74"/>
    <n v="3"/>
    <x v="0"/>
    <x v="4"/>
    <n v="3"/>
    <s v="Divorced"/>
    <n v="4522"/>
    <n v="2227"/>
    <n v="4"/>
    <s v="Y"/>
    <x v="0"/>
    <n v="14"/>
    <n v="3"/>
    <n v="4"/>
    <n v="80"/>
    <n v="0"/>
    <n v="8"/>
    <n v="3"/>
    <n v="3"/>
    <x v="8"/>
    <n v="2"/>
    <n v="0"/>
    <n v="2"/>
  </r>
  <r>
    <n v="25"/>
    <x v="1"/>
    <s v="Travel_Rarely"/>
    <n v="891"/>
    <x v="0"/>
    <x v="18"/>
    <n v="2"/>
    <s v="Life Sciences"/>
    <n v="1"/>
    <n v="527"/>
    <n v="2"/>
    <x v="0"/>
    <n v="99"/>
    <n v="2"/>
    <x v="0"/>
    <x v="0"/>
    <n v="4"/>
    <s v="Single"/>
    <n v="4487"/>
    <n v="12090"/>
    <n v="1"/>
    <s v="Y"/>
    <x v="0"/>
    <n v="11"/>
    <n v="3"/>
    <n v="2"/>
    <n v="80"/>
    <n v="0"/>
    <n v="5"/>
    <n v="3"/>
    <n v="3"/>
    <x v="8"/>
    <n v="4"/>
    <n v="1"/>
    <n v="3"/>
  </r>
  <r>
    <n v="37"/>
    <x v="1"/>
    <s v="Non-Travel"/>
    <n v="1063"/>
    <x v="1"/>
    <x v="19"/>
    <n v="5"/>
    <s v="Medical"/>
    <n v="1"/>
    <n v="529"/>
    <n v="2"/>
    <x v="0"/>
    <n v="72"/>
    <n v="3"/>
    <x v="0"/>
    <x v="1"/>
    <n v="3"/>
    <s v="Married"/>
    <n v="4449"/>
    <n v="23866"/>
    <n v="3"/>
    <s v="Y"/>
    <x v="0"/>
    <n v="15"/>
    <n v="3"/>
    <n v="1"/>
    <n v="80"/>
    <n v="2"/>
    <n v="15"/>
    <n v="2"/>
    <n v="3"/>
    <x v="20"/>
    <n v="11"/>
    <n v="10"/>
    <n v="7"/>
  </r>
  <r>
    <n v="31"/>
    <x v="1"/>
    <s v="Travel_Rarely"/>
    <n v="329"/>
    <x v="1"/>
    <x v="0"/>
    <n v="2"/>
    <s v="Life Sciences"/>
    <n v="1"/>
    <n v="530"/>
    <n v="4"/>
    <x v="1"/>
    <n v="98"/>
    <n v="2"/>
    <x v="1"/>
    <x v="2"/>
    <n v="1"/>
    <s v="Married"/>
    <n v="2218"/>
    <n v="16193"/>
    <n v="1"/>
    <s v="Y"/>
    <x v="1"/>
    <n v="12"/>
    <n v="3"/>
    <n v="3"/>
    <n v="80"/>
    <n v="1"/>
    <n v="4"/>
    <n v="3"/>
    <n v="3"/>
    <x v="9"/>
    <n v="2"/>
    <n v="3"/>
    <n v="2"/>
  </r>
  <r>
    <n v="39"/>
    <x v="1"/>
    <s v="Travel_Frequently"/>
    <n v="1218"/>
    <x v="1"/>
    <x v="0"/>
    <n v="1"/>
    <s v="Life Sciences"/>
    <n v="1"/>
    <n v="531"/>
    <n v="2"/>
    <x v="1"/>
    <n v="52"/>
    <n v="3"/>
    <x v="4"/>
    <x v="5"/>
    <n v="3"/>
    <s v="Divorced"/>
    <n v="19197"/>
    <n v="8213"/>
    <n v="1"/>
    <s v="Y"/>
    <x v="0"/>
    <n v="14"/>
    <n v="3"/>
    <n v="3"/>
    <n v="80"/>
    <n v="1"/>
    <n v="21"/>
    <n v="3"/>
    <n v="3"/>
    <x v="17"/>
    <n v="8"/>
    <n v="1"/>
    <n v="6"/>
  </r>
  <r>
    <n v="56"/>
    <x v="1"/>
    <s v="Travel_Frequently"/>
    <n v="906"/>
    <x v="0"/>
    <x v="16"/>
    <n v="3"/>
    <s v="Life Sciences"/>
    <n v="1"/>
    <n v="532"/>
    <n v="3"/>
    <x v="0"/>
    <n v="86"/>
    <n v="4"/>
    <x v="3"/>
    <x v="0"/>
    <n v="1"/>
    <s v="Married"/>
    <n v="13212"/>
    <n v="18256"/>
    <n v="9"/>
    <s v="Y"/>
    <x v="1"/>
    <n v="11"/>
    <n v="3"/>
    <n v="4"/>
    <n v="80"/>
    <n v="3"/>
    <n v="36"/>
    <n v="0"/>
    <n v="2"/>
    <x v="5"/>
    <n v="7"/>
    <n v="7"/>
    <n v="7"/>
  </r>
  <r>
    <n v="30"/>
    <x v="1"/>
    <s v="Travel_Rarely"/>
    <n v="1082"/>
    <x v="0"/>
    <x v="20"/>
    <n v="3"/>
    <s v="Technical Degree"/>
    <n v="1"/>
    <n v="533"/>
    <n v="2"/>
    <x v="0"/>
    <n v="83"/>
    <n v="3"/>
    <x v="0"/>
    <x v="0"/>
    <n v="3"/>
    <s v="Single"/>
    <n v="6577"/>
    <n v="19558"/>
    <n v="0"/>
    <s v="Y"/>
    <x v="1"/>
    <n v="11"/>
    <n v="3"/>
    <n v="2"/>
    <n v="80"/>
    <n v="0"/>
    <n v="6"/>
    <n v="6"/>
    <n v="3"/>
    <x v="8"/>
    <n v="4"/>
    <n v="4"/>
    <n v="4"/>
  </r>
  <r>
    <n v="41"/>
    <x v="1"/>
    <s v="Travel_Rarely"/>
    <n v="645"/>
    <x v="0"/>
    <x v="0"/>
    <n v="3"/>
    <s v="Marketing"/>
    <n v="1"/>
    <n v="534"/>
    <n v="2"/>
    <x v="1"/>
    <n v="49"/>
    <n v="4"/>
    <x v="2"/>
    <x v="0"/>
    <n v="1"/>
    <s v="Married"/>
    <n v="8392"/>
    <n v="19566"/>
    <n v="1"/>
    <s v="Y"/>
    <x v="1"/>
    <n v="16"/>
    <n v="3"/>
    <n v="3"/>
    <n v="80"/>
    <n v="1"/>
    <n v="10"/>
    <n v="2"/>
    <n v="3"/>
    <x v="1"/>
    <n v="7"/>
    <n v="0"/>
    <n v="7"/>
  </r>
  <r>
    <n v="28"/>
    <x v="1"/>
    <s v="Travel_Rarely"/>
    <n v="1300"/>
    <x v="1"/>
    <x v="27"/>
    <n v="2"/>
    <s v="Medical"/>
    <n v="1"/>
    <n v="536"/>
    <n v="3"/>
    <x v="1"/>
    <n v="79"/>
    <n v="3"/>
    <x v="0"/>
    <x v="2"/>
    <n v="1"/>
    <s v="Divorced"/>
    <n v="4558"/>
    <n v="13535"/>
    <n v="1"/>
    <s v="Y"/>
    <x v="1"/>
    <n v="12"/>
    <n v="3"/>
    <n v="4"/>
    <n v="80"/>
    <n v="1"/>
    <n v="10"/>
    <n v="2"/>
    <n v="3"/>
    <x v="1"/>
    <n v="0"/>
    <n v="1"/>
    <n v="8"/>
  </r>
  <r>
    <n v="25"/>
    <x v="0"/>
    <s v="Travel_Rarely"/>
    <n v="688"/>
    <x v="1"/>
    <x v="3"/>
    <n v="3"/>
    <s v="Medical"/>
    <n v="1"/>
    <n v="538"/>
    <n v="1"/>
    <x v="1"/>
    <n v="91"/>
    <n v="3"/>
    <x v="1"/>
    <x v="2"/>
    <n v="1"/>
    <s v="Married"/>
    <n v="4031"/>
    <n v="9396"/>
    <n v="5"/>
    <s v="Y"/>
    <x v="1"/>
    <n v="13"/>
    <n v="3"/>
    <n v="3"/>
    <n v="80"/>
    <n v="1"/>
    <n v="6"/>
    <n v="5"/>
    <n v="3"/>
    <x v="4"/>
    <n v="2"/>
    <n v="0"/>
    <n v="2"/>
  </r>
  <r>
    <n v="52"/>
    <x v="1"/>
    <s v="Travel_Rarely"/>
    <n v="319"/>
    <x v="1"/>
    <x v="3"/>
    <n v="3"/>
    <s v="Medical"/>
    <n v="1"/>
    <n v="543"/>
    <n v="4"/>
    <x v="1"/>
    <n v="39"/>
    <n v="2"/>
    <x v="2"/>
    <x v="3"/>
    <n v="3"/>
    <s v="Married"/>
    <n v="7969"/>
    <n v="19609"/>
    <n v="2"/>
    <s v="Y"/>
    <x v="0"/>
    <n v="14"/>
    <n v="3"/>
    <n v="3"/>
    <n v="80"/>
    <n v="0"/>
    <n v="28"/>
    <n v="4"/>
    <n v="3"/>
    <x v="8"/>
    <n v="4"/>
    <n v="0"/>
    <n v="4"/>
  </r>
  <r>
    <n v="45"/>
    <x v="1"/>
    <s v="Travel_Rarely"/>
    <n v="192"/>
    <x v="1"/>
    <x v="17"/>
    <n v="2"/>
    <s v="Life Sciences"/>
    <n v="1"/>
    <n v="544"/>
    <n v="1"/>
    <x v="1"/>
    <n v="69"/>
    <n v="3"/>
    <x v="1"/>
    <x v="1"/>
    <n v="4"/>
    <s v="Married"/>
    <n v="2654"/>
    <n v="9655"/>
    <n v="3"/>
    <s v="Y"/>
    <x v="1"/>
    <n v="21"/>
    <n v="4"/>
    <n v="4"/>
    <n v="80"/>
    <n v="2"/>
    <n v="8"/>
    <n v="3"/>
    <n v="2"/>
    <x v="4"/>
    <n v="2"/>
    <n v="0"/>
    <n v="2"/>
  </r>
  <r>
    <n v="52"/>
    <x v="1"/>
    <s v="Travel_Rarely"/>
    <n v="1490"/>
    <x v="1"/>
    <x v="18"/>
    <n v="2"/>
    <s v="Life Sciences"/>
    <n v="1"/>
    <n v="546"/>
    <n v="4"/>
    <x v="0"/>
    <n v="30"/>
    <n v="3"/>
    <x v="3"/>
    <x v="5"/>
    <n v="4"/>
    <s v="Married"/>
    <n v="16555"/>
    <n v="10310"/>
    <n v="2"/>
    <s v="Y"/>
    <x v="1"/>
    <n v="13"/>
    <n v="3"/>
    <n v="4"/>
    <n v="80"/>
    <n v="0"/>
    <n v="31"/>
    <n v="2"/>
    <n v="1"/>
    <x v="8"/>
    <n v="2"/>
    <n v="1"/>
    <n v="4"/>
  </r>
  <r>
    <n v="42"/>
    <x v="1"/>
    <s v="Travel_Frequently"/>
    <n v="532"/>
    <x v="1"/>
    <x v="22"/>
    <n v="2"/>
    <s v="Life Sciences"/>
    <n v="1"/>
    <n v="547"/>
    <n v="1"/>
    <x v="0"/>
    <n v="92"/>
    <n v="3"/>
    <x v="0"/>
    <x v="1"/>
    <n v="3"/>
    <s v="Divorced"/>
    <n v="4556"/>
    <n v="12932"/>
    <n v="2"/>
    <s v="Y"/>
    <x v="1"/>
    <n v="11"/>
    <n v="3"/>
    <n v="2"/>
    <n v="80"/>
    <n v="1"/>
    <n v="19"/>
    <n v="3"/>
    <n v="3"/>
    <x v="8"/>
    <n v="4"/>
    <n v="0"/>
    <n v="2"/>
  </r>
  <r>
    <n v="30"/>
    <x v="1"/>
    <s v="Travel_Rarely"/>
    <n v="317"/>
    <x v="1"/>
    <x v="2"/>
    <n v="3"/>
    <s v="Life Sciences"/>
    <n v="1"/>
    <n v="548"/>
    <n v="3"/>
    <x v="0"/>
    <n v="43"/>
    <n v="1"/>
    <x v="0"/>
    <x v="3"/>
    <n v="4"/>
    <s v="Single"/>
    <n v="6091"/>
    <n v="24793"/>
    <n v="2"/>
    <s v="Y"/>
    <x v="1"/>
    <n v="20"/>
    <n v="4"/>
    <n v="3"/>
    <n v="80"/>
    <n v="0"/>
    <n v="11"/>
    <n v="2"/>
    <n v="3"/>
    <x v="8"/>
    <n v="4"/>
    <n v="0"/>
    <n v="2"/>
  </r>
  <r>
    <n v="60"/>
    <x v="1"/>
    <s v="Travel_Rarely"/>
    <n v="422"/>
    <x v="1"/>
    <x v="15"/>
    <n v="3"/>
    <s v="Life Sciences"/>
    <n v="1"/>
    <n v="549"/>
    <n v="1"/>
    <x v="0"/>
    <n v="41"/>
    <n v="3"/>
    <x v="4"/>
    <x v="5"/>
    <n v="1"/>
    <s v="Married"/>
    <n v="19566"/>
    <n v="3854"/>
    <n v="5"/>
    <s v="Y"/>
    <x v="1"/>
    <n v="11"/>
    <n v="3"/>
    <n v="4"/>
    <n v="80"/>
    <n v="0"/>
    <n v="33"/>
    <n v="5"/>
    <n v="1"/>
    <x v="30"/>
    <n v="8"/>
    <n v="11"/>
    <n v="10"/>
  </r>
  <r>
    <n v="46"/>
    <x v="1"/>
    <s v="Travel_Rarely"/>
    <n v="1485"/>
    <x v="1"/>
    <x v="21"/>
    <n v="3"/>
    <s v="Medical"/>
    <n v="1"/>
    <n v="550"/>
    <n v="3"/>
    <x v="0"/>
    <n v="87"/>
    <n v="3"/>
    <x v="0"/>
    <x v="3"/>
    <n v="3"/>
    <s v="Divorced"/>
    <n v="4810"/>
    <n v="26314"/>
    <n v="2"/>
    <s v="Y"/>
    <x v="1"/>
    <n v="14"/>
    <n v="3"/>
    <n v="3"/>
    <n v="80"/>
    <n v="1"/>
    <n v="19"/>
    <n v="5"/>
    <n v="2"/>
    <x v="1"/>
    <n v="7"/>
    <n v="0"/>
    <n v="8"/>
  </r>
  <r>
    <n v="42"/>
    <x v="1"/>
    <s v="Travel_Frequently"/>
    <n v="1368"/>
    <x v="1"/>
    <x v="26"/>
    <n v="4"/>
    <s v="Technical Degree"/>
    <n v="1"/>
    <n v="551"/>
    <n v="4"/>
    <x v="0"/>
    <n v="88"/>
    <n v="2"/>
    <x v="0"/>
    <x v="4"/>
    <n v="4"/>
    <s v="Married"/>
    <n v="4523"/>
    <n v="4386"/>
    <n v="0"/>
    <s v="Y"/>
    <x v="1"/>
    <n v="11"/>
    <n v="3"/>
    <n v="4"/>
    <n v="80"/>
    <n v="3"/>
    <n v="7"/>
    <n v="4"/>
    <n v="4"/>
    <x v="0"/>
    <n v="5"/>
    <n v="0"/>
    <n v="4"/>
  </r>
  <r>
    <n v="24"/>
    <x v="0"/>
    <s v="Travel_Rarely"/>
    <n v="1448"/>
    <x v="0"/>
    <x v="0"/>
    <n v="1"/>
    <s v="Technical Degree"/>
    <n v="1"/>
    <n v="554"/>
    <n v="1"/>
    <x v="0"/>
    <n v="62"/>
    <n v="3"/>
    <x v="1"/>
    <x v="6"/>
    <n v="2"/>
    <s v="Single"/>
    <n v="3202"/>
    <n v="21972"/>
    <n v="1"/>
    <s v="Y"/>
    <x v="0"/>
    <n v="16"/>
    <n v="3"/>
    <n v="2"/>
    <n v="80"/>
    <n v="0"/>
    <n v="6"/>
    <n v="4"/>
    <n v="3"/>
    <x v="8"/>
    <n v="3"/>
    <n v="1"/>
    <n v="4"/>
  </r>
  <r>
    <n v="34"/>
    <x v="0"/>
    <s v="Travel_Frequently"/>
    <n v="296"/>
    <x v="0"/>
    <x v="16"/>
    <n v="2"/>
    <s v="Marketing"/>
    <n v="1"/>
    <n v="555"/>
    <n v="4"/>
    <x v="0"/>
    <n v="33"/>
    <n v="1"/>
    <x v="1"/>
    <x v="6"/>
    <n v="3"/>
    <s v="Divorced"/>
    <n v="2351"/>
    <n v="12253"/>
    <n v="0"/>
    <s v="Y"/>
    <x v="1"/>
    <n v="16"/>
    <n v="3"/>
    <n v="4"/>
    <n v="80"/>
    <n v="1"/>
    <n v="3"/>
    <n v="3"/>
    <n v="2"/>
    <x v="4"/>
    <n v="2"/>
    <n v="1"/>
    <n v="0"/>
  </r>
  <r>
    <n v="38"/>
    <x v="1"/>
    <s v="Travel_Frequently"/>
    <n v="1490"/>
    <x v="1"/>
    <x v="2"/>
    <n v="2"/>
    <s v="Life Sciences"/>
    <n v="1"/>
    <n v="556"/>
    <n v="4"/>
    <x v="1"/>
    <n v="42"/>
    <n v="3"/>
    <x v="1"/>
    <x v="2"/>
    <n v="4"/>
    <s v="Married"/>
    <n v="1702"/>
    <n v="12106"/>
    <n v="1"/>
    <s v="Y"/>
    <x v="0"/>
    <n v="23"/>
    <n v="4"/>
    <n v="3"/>
    <n v="80"/>
    <n v="1"/>
    <n v="1"/>
    <n v="3"/>
    <n v="3"/>
    <x v="6"/>
    <n v="0"/>
    <n v="0"/>
    <n v="0"/>
  </r>
  <r>
    <n v="40"/>
    <x v="1"/>
    <s v="Travel_Rarely"/>
    <n v="1398"/>
    <x v="0"/>
    <x v="2"/>
    <n v="4"/>
    <s v="Life Sciences"/>
    <n v="1"/>
    <n v="558"/>
    <n v="3"/>
    <x v="0"/>
    <n v="79"/>
    <n v="3"/>
    <x v="4"/>
    <x v="5"/>
    <n v="3"/>
    <s v="Married"/>
    <n v="18041"/>
    <n v="13022"/>
    <n v="0"/>
    <s v="Y"/>
    <x v="1"/>
    <n v="14"/>
    <n v="3"/>
    <n v="4"/>
    <n v="80"/>
    <n v="0"/>
    <n v="21"/>
    <n v="2"/>
    <n v="3"/>
    <x v="23"/>
    <n v="15"/>
    <n v="1"/>
    <n v="12"/>
  </r>
  <r>
    <n v="26"/>
    <x v="1"/>
    <s v="Travel_Rarely"/>
    <n v="1349"/>
    <x v="1"/>
    <x v="5"/>
    <n v="3"/>
    <s v="Life Sciences"/>
    <n v="1"/>
    <n v="560"/>
    <n v="1"/>
    <x v="0"/>
    <n v="90"/>
    <n v="3"/>
    <x v="1"/>
    <x v="1"/>
    <n v="4"/>
    <s v="Divorced"/>
    <n v="2886"/>
    <n v="3032"/>
    <n v="1"/>
    <s v="Y"/>
    <x v="1"/>
    <n v="22"/>
    <n v="4"/>
    <n v="2"/>
    <n v="80"/>
    <n v="2"/>
    <n v="3"/>
    <n v="3"/>
    <n v="1"/>
    <x v="11"/>
    <n v="2"/>
    <n v="0"/>
    <n v="2"/>
  </r>
  <r>
    <n v="30"/>
    <x v="1"/>
    <s v="Non-Travel"/>
    <n v="1400"/>
    <x v="1"/>
    <x v="3"/>
    <n v="3"/>
    <s v="Life Sciences"/>
    <n v="1"/>
    <n v="562"/>
    <n v="3"/>
    <x v="1"/>
    <n v="53"/>
    <n v="3"/>
    <x v="1"/>
    <x v="2"/>
    <n v="4"/>
    <s v="Married"/>
    <n v="2097"/>
    <n v="16734"/>
    <n v="4"/>
    <s v="Y"/>
    <x v="1"/>
    <n v="15"/>
    <n v="3"/>
    <n v="3"/>
    <n v="80"/>
    <n v="1"/>
    <n v="9"/>
    <n v="3"/>
    <n v="1"/>
    <x v="8"/>
    <n v="3"/>
    <n v="1"/>
    <n v="4"/>
  </r>
  <r>
    <n v="29"/>
    <x v="1"/>
    <s v="Travel_Rarely"/>
    <n v="986"/>
    <x v="1"/>
    <x v="3"/>
    <n v="4"/>
    <s v="Medical"/>
    <n v="1"/>
    <n v="564"/>
    <n v="2"/>
    <x v="1"/>
    <n v="93"/>
    <n v="2"/>
    <x v="2"/>
    <x v="7"/>
    <n v="3"/>
    <s v="Married"/>
    <n v="11935"/>
    <n v="21526"/>
    <n v="1"/>
    <s v="Y"/>
    <x v="1"/>
    <n v="18"/>
    <n v="3"/>
    <n v="3"/>
    <n v="80"/>
    <n v="0"/>
    <n v="10"/>
    <n v="2"/>
    <n v="3"/>
    <x v="1"/>
    <n v="2"/>
    <n v="0"/>
    <n v="7"/>
  </r>
  <r>
    <n v="29"/>
    <x v="0"/>
    <s v="Travel_Rarely"/>
    <n v="408"/>
    <x v="1"/>
    <x v="19"/>
    <n v="5"/>
    <s v="Technical Degree"/>
    <n v="1"/>
    <n v="565"/>
    <n v="3"/>
    <x v="0"/>
    <n v="71"/>
    <n v="2"/>
    <x v="1"/>
    <x v="1"/>
    <n v="2"/>
    <s v="Married"/>
    <n v="2546"/>
    <n v="18300"/>
    <n v="5"/>
    <s v="Y"/>
    <x v="1"/>
    <n v="16"/>
    <n v="3"/>
    <n v="2"/>
    <n v="80"/>
    <n v="0"/>
    <n v="6"/>
    <n v="2"/>
    <n v="4"/>
    <x v="4"/>
    <n v="2"/>
    <n v="1"/>
    <n v="1"/>
  </r>
  <r>
    <n v="19"/>
    <x v="0"/>
    <s v="Travel_Rarely"/>
    <n v="489"/>
    <x v="2"/>
    <x v="2"/>
    <n v="2"/>
    <s v="Technical Degree"/>
    <n v="1"/>
    <n v="566"/>
    <n v="1"/>
    <x v="1"/>
    <n v="52"/>
    <n v="2"/>
    <x v="1"/>
    <x v="8"/>
    <n v="4"/>
    <s v="Single"/>
    <n v="2564"/>
    <n v="18437"/>
    <n v="1"/>
    <s v="Y"/>
    <x v="1"/>
    <n v="12"/>
    <n v="3"/>
    <n v="3"/>
    <n v="80"/>
    <n v="0"/>
    <n v="1"/>
    <n v="3"/>
    <n v="4"/>
    <x v="6"/>
    <n v="0"/>
    <n v="0"/>
    <n v="0"/>
  </r>
  <r>
    <n v="30"/>
    <x v="1"/>
    <s v="Non-Travel"/>
    <n v="1398"/>
    <x v="0"/>
    <x v="23"/>
    <n v="4"/>
    <s v="Other"/>
    <n v="1"/>
    <n v="567"/>
    <n v="3"/>
    <x v="0"/>
    <n v="69"/>
    <n v="3"/>
    <x v="2"/>
    <x v="0"/>
    <n v="1"/>
    <s v="Married"/>
    <n v="8412"/>
    <n v="2890"/>
    <n v="0"/>
    <s v="Y"/>
    <x v="1"/>
    <n v="11"/>
    <n v="3"/>
    <n v="3"/>
    <n v="80"/>
    <n v="0"/>
    <n v="10"/>
    <n v="3"/>
    <n v="3"/>
    <x v="7"/>
    <n v="8"/>
    <n v="7"/>
    <n v="8"/>
  </r>
  <r>
    <n v="57"/>
    <x v="1"/>
    <s v="Travel_Rarely"/>
    <n v="210"/>
    <x v="0"/>
    <x v="22"/>
    <n v="3"/>
    <s v="Marketing"/>
    <n v="1"/>
    <n v="568"/>
    <n v="1"/>
    <x v="1"/>
    <n v="56"/>
    <n v="2"/>
    <x v="3"/>
    <x v="5"/>
    <n v="4"/>
    <s v="Divorced"/>
    <n v="14118"/>
    <n v="22102"/>
    <n v="3"/>
    <s v="Y"/>
    <x v="1"/>
    <n v="12"/>
    <n v="3"/>
    <n v="3"/>
    <n v="80"/>
    <n v="1"/>
    <n v="32"/>
    <n v="3"/>
    <n v="2"/>
    <x v="6"/>
    <n v="0"/>
    <n v="0"/>
    <n v="0"/>
  </r>
  <r>
    <n v="50"/>
    <x v="1"/>
    <s v="Travel_Rarely"/>
    <n v="1099"/>
    <x v="1"/>
    <x v="22"/>
    <n v="4"/>
    <s v="Life Sciences"/>
    <n v="1"/>
    <n v="569"/>
    <n v="2"/>
    <x v="1"/>
    <n v="88"/>
    <n v="2"/>
    <x v="3"/>
    <x v="5"/>
    <n v="3"/>
    <s v="Married"/>
    <n v="17046"/>
    <n v="9314"/>
    <n v="0"/>
    <s v="Y"/>
    <x v="1"/>
    <n v="15"/>
    <n v="3"/>
    <n v="2"/>
    <n v="80"/>
    <n v="1"/>
    <n v="28"/>
    <n v="2"/>
    <n v="3"/>
    <x v="16"/>
    <n v="10"/>
    <n v="15"/>
    <n v="7"/>
  </r>
  <r>
    <n v="30"/>
    <x v="1"/>
    <s v="Non-Travel"/>
    <n v="1116"/>
    <x v="1"/>
    <x v="2"/>
    <n v="3"/>
    <s v="Medical"/>
    <n v="1"/>
    <n v="571"/>
    <n v="3"/>
    <x v="0"/>
    <n v="49"/>
    <n v="3"/>
    <x v="1"/>
    <x v="2"/>
    <n v="4"/>
    <s v="Single"/>
    <n v="2564"/>
    <n v="7181"/>
    <n v="0"/>
    <s v="Y"/>
    <x v="1"/>
    <n v="14"/>
    <n v="3"/>
    <n v="3"/>
    <n v="80"/>
    <n v="0"/>
    <n v="12"/>
    <n v="2"/>
    <n v="2"/>
    <x v="19"/>
    <n v="7"/>
    <n v="6"/>
    <n v="7"/>
  </r>
  <r>
    <n v="60"/>
    <x v="1"/>
    <s v="Travel_Frequently"/>
    <n v="1499"/>
    <x v="0"/>
    <x v="26"/>
    <n v="3"/>
    <s v="Marketing"/>
    <n v="1"/>
    <n v="573"/>
    <n v="3"/>
    <x v="0"/>
    <n v="80"/>
    <n v="2"/>
    <x v="2"/>
    <x v="0"/>
    <n v="1"/>
    <s v="Married"/>
    <n v="10266"/>
    <n v="2845"/>
    <n v="4"/>
    <s v="Y"/>
    <x v="1"/>
    <n v="19"/>
    <n v="3"/>
    <n v="4"/>
    <n v="80"/>
    <n v="0"/>
    <n v="22"/>
    <n v="5"/>
    <n v="4"/>
    <x v="29"/>
    <n v="13"/>
    <n v="13"/>
    <n v="11"/>
  </r>
  <r>
    <n v="47"/>
    <x v="1"/>
    <s v="Travel_Rarely"/>
    <n v="983"/>
    <x v="1"/>
    <x v="2"/>
    <n v="2"/>
    <s v="Medical"/>
    <n v="1"/>
    <n v="574"/>
    <n v="1"/>
    <x v="0"/>
    <n v="65"/>
    <n v="3"/>
    <x v="0"/>
    <x v="3"/>
    <n v="4"/>
    <s v="Divorced"/>
    <n v="5070"/>
    <n v="7389"/>
    <n v="5"/>
    <s v="Y"/>
    <x v="1"/>
    <n v="13"/>
    <n v="3"/>
    <n v="3"/>
    <n v="80"/>
    <n v="3"/>
    <n v="20"/>
    <n v="2"/>
    <n v="3"/>
    <x v="8"/>
    <n v="0"/>
    <n v="0"/>
    <n v="4"/>
  </r>
  <r>
    <n v="46"/>
    <x v="1"/>
    <s v="Travel_Rarely"/>
    <n v="1009"/>
    <x v="1"/>
    <x v="2"/>
    <n v="3"/>
    <s v="Life Sciences"/>
    <n v="1"/>
    <n v="575"/>
    <n v="1"/>
    <x v="1"/>
    <n v="51"/>
    <n v="3"/>
    <x v="3"/>
    <x v="7"/>
    <n v="3"/>
    <s v="Married"/>
    <n v="17861"/>
    <n v="2288"/>
    <n v="6"/>
    <s v="Y"/>
    <x v="1"/>
    <n v="13"/>
    <n v="3"/>
    <n v="3"/>
    <n v="80"/>
    <n v="0"/>
    <n v="26"/>
    <n v="2"/>
    <n v="1"/>
    <x v="11"/>
    <n v="2"/>
    <n v="0"/>
    <n v="1"/>
  </r>
  <r>
    <n v="35"/>
    <x v="1"/>
    <s v="Travel_Rarely"/>
    <n v="144"/>
    <x v="1"/>
    <x v="23"/>
    <n v="3"/>
    <s v="Life Sciences"/>
    <n v="1"/>
    <n v="577"/>
    <n v="4"/>
    <x v="1"/>
    <n v="46"/>
    <n v="1"/>
    <x v="1"/>
    <x v="2"/>
    <n v="3"/>
    <s v="Single"/>
    <n v="4230"/>
    <n v="19225"/>
    <n v="0"/>
    <s v="Y"/>
    <x v="1"/>
    <n v="15"/>
    <n v="3"/>
    <n v="3"/>
    <n v="80"/>
    <n v="0"/>
    <n v="6"/>
    <n v="2"/>
    <n v="3"/>
    <x v="8"/>
    <n v="4"/>
    <n v="4"/>
    <n v="3"/>
  </r>
  <r>
    <n v="54"/>
    <x v="1"/>
    <s v="Travel_Rarely"/>
    <n v="548"/>
    <x v="1"/>
    <x v="1"/>
    <n v="4"/>
    <s v="Life Sciences"/>
    <n v="1"/>
    <n v="578"/>
    <n v="3"/>
    <x v="0"/>
    <n v="42"/>
    <n v="3"/>
    <x v="0"/>
    <x v="2"/>
    <n v="3"/>
    <s v="Single"/>
    <n v="3780"/>
    <n v="23428"/>
    <n v="7"/>
    <s v="Y"/>
    <x v="1"/>
    <n v="11"/>
    <n v="3"/>
    <n v="3"/>
    <n v="80"/>
    <n v="0"/>
    <n v="19"/>
    <n v="3"/>
    <n v="3"/>
    <x v="6"/>
    <n v="0"/>
    <n v="0"/>
    <n v="0"/>
  </r>
  <r>
    <n v="34"/>
    <x v="1"/>
    <s v="Travel_Rarely"/>
    <n v="1303"/>
    <x v="1"/>
    <x v="2"/>
    <n v="4"/>
    <s v="Life Sciences"/>
    <n v="1"/>
    <n v="579"/>
    <n v="4"/>
    <x v="1"/>
    <n v="62"/>
    <n v="2"/>
    <x v="1"/>
    <x v="1"/>
    <n v="3"/>
    <s v="Divorced"/>
    <n v="2768"/>
    <n v="8416"/>
    <n v="3"/>
    <s v="Y"/>
    <x v="1"/>
    <n v="12"/>
    <n v="3"/>
    <n v="3"/>
    <n v="80"/>
    <n v="1"/>
    <n v="14"/>
    <n v="3"/>
    <n v="3"/>
    <x v="5"/>
    <n v="3"/>
    <n v="5"/>
    <n v="7"/>
  </r>
  <r>
    <n v="46"/>
    <x v="1"/>
    <s v="Travel_Rarely"/>
    <n v="1125"/>
    <x v="0"/>
    <x v="17"/>
    <n v="3"/>
    <s v="Marketing"/>
    <n v="1"/>
    <n v="580"/>
    <n v="3"/>
    <x v="0"/>
    <n v="94"/>
    <n v="2"/>
    <x v="2"/>
    <x v="0"/>
    <n v="4"/>
    <s v="Married"/>
    <n v="9071"/>
    <n v="11563"/>
    <n v="2"/>
    <s v="Y"/>
    <x v="0"/>
    <n v="19"/>
    <n v="3"/>
    <n v="3"/>
    <n v="80"/>
    <n v="1"/>
    <n v="15"/>
    <n v="3"/>
    <n v="3"/>
    <x v="11"/>
    <n v="2"/>
    <n v="1"/>
    <n v="2"/>
  </r>
  <r>
    <n v="31"/>
    <x v="1"/>
    <s v="Travel_Rarely"/>
    <n v="1274"/>
    <x v="1"/>
    <x v="14"/>
    <n v="1"/>
    <s v="Life Sciences"/>
    <n v="1"/>
    <n v="581"/>
    <n v="3"/>
    <x v="1"/>
    <n v="33"/>
    <n v="3"/>
    <x v="2"/>
    <x v="3"/>
    <n v="2"/>
    <s v="Divorced"/>
    <n v="10648"/>
    <n v="14394"/>
    <n v="1"/>
    <s v="Y"/>
    <x v="1"/>
    <n v="25"/>
    <n v="4"/>
    <n v="4"/>
    <n v="80"/>
    <n v="1"/>
    <n v="13"/>
    <n v="6"/>
    <n v="4"/>
    <x v="20"/>
    <n v="8"/>
    <n v="0"/>
    <n v="8"/>
  </r>
  <r>
    <n v="33"/>
    <x v="0"/>
    <s v="Travel_Rarely"/>
    <n v="1277"/>
    <x v="1"/>
    <x v="8"/>
    <n v="1"/>
    <s v="Medical"/>
    <n v="1"/>
    <n v="582"/>
    <n v="2"/>
    <x v="1"/>
    <n v="56"/>
    <n v="3"/>
    <x v="2"/>
    <x v="5"/>
    <n v="3"/>
    <s v="Married"/>
    <n v="13610"/>
    <n v="24619"/>
    <n v="7"/>
    <s v="Y"/>
    <x v="0"/>
    <n v="12"/>
    <n v="3"/>
    <n v="4"/>
    <n v="80"/>
    <n v="0"/>
    <n v="15"/>
    <n v="2"/>
    <n v="4"/>
    <x v="5"/>
    <n v="6"/>
    <n v="7"/>
    <n v="7"/>
  </r>
  <r>
    <n v="33"/>
    <x v="0"/>
    <s v="Travel_Rarely"/>
    <n v="587"/>
    <x v="1"/>
    <x v="17"/>
    <n v="1"/>
    <s v="Medical"/>
    <n v="1"/>
    <n v="584"/>
    <n v="1"/>
    <x v="1"/>
    <n v="38"/>
    <n v="1"/>
    <x v="1"/>
    <x v="2"/>
    <n v="4"/>
    <s v="Divorced"/>
    <n v="3408"/>
    <n v="6705"/>
    <n v="7"/>
    <s v="Y"/>
    <x v="1"/>
    <n v="13"/>
    <n v="3"/>
    <n v="1"/>
    <n v="80"/>
    <n v="3"/>
    <n v="8"/>
    <n v="2"/>
    <n v="3"/>
    <x v="9"/>
    <n v="3"/>
    <n v="1"/>
    <n v="3"/>
  </r>
  <r>
    <n v="30"/>
    <x v="1"/>
    <s v="Travel_Rarely"/>
    <n v="413"/>
    <x v="0"/>
    <x v="15"/>
    <n v="1"/>
    <s v="Marketing"/>
    <n v="1"/>
    <n v="585"/>
    <n v="4"/>
    <x v="1"/>
    <n v="57"/>
    <n v="3"/>
    <x v="1"/>
    <x v="6"/>
    <n v="2"/>
    <s v="Single"/>
    <n v="2983"/>
    <n v="18398"/>
    <n v="0"/>
    <s v="Y"/>
    <x v="1"/>
    <n v="14"/>
    <n v="3"/>
    <n v="1"/>
    <n v="80"/>
    <n v="0"/>
    <n v="4"/>
    <n v="3"/>
    <n v="3"/>
    <x v="11"/>
    <n v="2"/>
    <n v="1"/>
    <n v="2"/>
  </r>
  <r>
    <n v="35"/>
    <x v="1"/>
    <s v="Travel_Rarely"/>
    <n v="1276"/>
    <x v="1"/>
    <x v="7"/>
    <n v="3"/>
    <s v="Life Sciences"/>
    <n v="1"/>
    <n v="586"/>
    <n v="4"/>
    <x v="1"/>
    <n v="72"/>
    <n v="3"/>
    <x v="2"/>
    <x v="4"/>
    <n v="3"/>
    <s v="Married"/>
    <n v="7632"/>
    <n v="14295"/>
    <n v="4"/>
    <s v="Y"/>
    <x v="0"/>
    <n v="12"/>
    <n v="3"/>
    <n v="3"/>
    <n v="80"/>
    <n v="0"/>
    <n v="10"/>
    <n v="2"/>
    <n v="3"/>
    <x v="3"/>
    <n v="7"/>
    <n v="0"/>
    <n v="0"/>
  </r>
  <r>
    <n v="31"/>
    <x v="0"/>
    <s v="Travel_Frequently"/>
    <n v="534"/>
    <x v="1"/>
    <x v="25"/>
    <n v="3"/>
    <s v="Life Sciences"/>
    <n v="1"/>
    <n v="587"/>
    <n v="1"/>
    <x v="1"/>
    <n v="66"/>
    <n v="3"/>
    <x v="2"/>
    <x v="4"/>
    <n v="3"/>
    <s v="Married"/>
    <n v="9824"/>
    <n v="22908"/>
    <n v="3"/>
    <s v="Y"/>
    <x v="1"/>
    <n v="12"/>
    <n v="3"/>
    <n v="1"/>
    <n v="80"/>
    <n v="0"/>
    <n v="12"/>
    <n v="2"/>
    <n v="3"/>
    <x v="6"/>
    <n v="0"/>
    <n v="0"/>
    <n v="0"/>
  </r>
  <r>
    <n v="34"/>
    <x v="0"/>
    <s v="Travel_Frequently"/>
    <n v="988"/>
    <x v="2"/>
    <x v="5"/>
    <n v="3"/>
    <s v="Human Resources"/>
    <n v="1"/>
    <n v="590"/>
    <n v="2"/>
    <x v="0"/>
    <n v="43"/>
    <n v="3"/>
    <x v="2"/>
    <x v="8"/>
    <n v="1"/>
    <s v="Divorced"/>
    <n v="9950"/>
    <n v="11533"/>
    <n v="9"/>
    <s v="Y"/>
    <x v="0"/>
    <n v="15"/>
    <n v="3"/>
    <n v="3"/>
    <n v="80"/>
    <n v="3"/>
    <n v="11"/>
    <n v="2"/>
    <n v="3"/>
    <x v="11"/>
    <n v="2"/>
    <n v="0"/>
    <n v="2"/>
  </r>
  <r>
    <n v="42"/>
    <x v="1"/>
    <s v="Travel_Frequently"/>
    <n v="1474"/>
    <x v="1"/>
    <x v="12"/>
    <n v="2"/>
    <s v="Other"/>
    <n v="1"/>
    <n v="591"/>
    <n v="2"/>
    <x v="1"/>
    <n v="97"/>
    <n v="3"/>
    <x v="1"/>
    <x v="2"/>
    <n v="3"/>
    <s v="Married"/>
    <n v="2093"/>
    <n v="9260"/>
    <n v="4"/>
    <s v="Y"/>
    <x v="1"/>
    <n v="17"/>
    <n v="3"/>
    <n v="4"/>
    <n v="80"/>
    <n v="1"/>
    <n v="8"/>
    <n v="4"/>
    <n v="3"/>
    <x v="4"/>
    <n v="2"/>
    <n v="2"/>
    <n v="0"/>
  </r>
  <r>
    <n v="36"/>
    <x v="1"/>
    <s v="Non-Travel"/>
    <n v="635"/>
    <x v="0"/>
    <x v="17"/>
    <n v="4"/>
    <s v="Medical"/>
    <n v="1"/>
    <n v="592"/>
    <n v="2"/>
    <x v="1"/>
    <n v="32"/>
    <n v="3"/>
    <x v="2"/>
    <x v="0"/>
    <n v="4"/>
    <s v="Single"/>
    <n v="9980"/>
    <n v="15318"/>
    <n v="1"/>
    <s v="Y"/>
    <x v="1"/>
    <n v="14"/>
    <n v="3"/>
    <n v="4"/>
    <n v="80"/>
    <n v="0"/>
    <n v="10"/>
    <n v="3"/>
    <n v="2"/>
    <x v="1"/>
    <n v="3"/>
    <n v="9"/>
    <n v="7"/>
  </r>
  <r>
    <n v="22"/>
    <x v="0"/>
    <s v="Travel_Frequently"/>
    <n v="1368"/>
    <x v="1"/>
    <x v="18"/>
    <n v="1"/>
    <s v="Technical Degree"/>
    <n v="1"/>
    <n v="593"/>
    <n v="3"/>
    <x v="1"/>
    <n v="99"/>
    <n v="2"/>
    <x v="1"/>
    <x v="2"/>
    <n v="3"/>
    <s v="Single"/>
    <n v="3894"/>
    <n v="9129"/>
    <n v="5"/>
    <s v="Y"/>
    <x v="1"/>
    <n v="16"/>
    <n v="3"/>
    <n v="3"/>
    <n v="80"/>
    <n v="0"/>
    <n v="4"/>
    <n v="3"/>
    <n v="3"/>
    <x v="4"/>
    <n v="2"/>
    <n v="1"/>
    <n v="2"/>
  </r>
  <r>
    <n v="48"/>
    <x v="1"/>
    <s v="Travel_Rarely"/>
    <n v="163"/>
    <x v="0"/>
    <x v="2"/>
    <n v="5"/>
    <s v="Marketing"/>
    <n v="1"/>
    <n v="595"/>
    <n v="2"/>
    <x v="0"/>
    <n v="37"/>
    <n v="3"/>
    <x v="0"/>
    <x v="0"/>
    <n v="4"/>
    <s v="Married"/>
    <n v="4051"/>
    <n v="19658"/>
    <n v="2"/>
    <s v="Y"/>
    <x v="1"/>
    <n v="14"/>
    <n v="3"/>
    <n v="1"/>
    <n v="80"/>
    <n v="1"/>
    <n v="14"/>
    <n v="2"/>
    <n v="3"/>
    <x v="7"/>
    <n v="7"/>
    <n v="6"/>
    <n v="7"/>
  </r>
  <r>
    <n v="55"/>
    <x v="1"/>
    <s v="Travel_Rarely"/>
    <n v="1117"/>
    <x v="0"/>
    <x v="21"/>
    <n v="5"/>
    <s v="Life Sciences"/>
    <n v="1"/>
    <n v="597"/>
    <n v="1"/>
    <x v="0"/>
    <n v="83"/>
    <n v="3"/>
    <x v="3"/>
    <x v="5"/>
    <n v="2"/>
    <s v="Single"/>
    <n v="16835"/>
    <n v="9873"/>
    <n v="3"/>
    <s v="Y"/>
    <x v="1"/>
    <n v="23"/>
    <n v="4"/>
    <n v="4"/>
    <n v="80"/>
    <n v="0"/>
    <n v="37"/>
    <n v="2"/>
    <n v="3"/>
    <x v="1"/>
    <n v="9"/>
    <n v="7"/>
    <n v="7"/>
  </r>
  <r>
    <n v="41"/>
    <x v="1"/>
    <s v="Non-Travel"/>
    <n v="267"/>
    <x v="0"/>
    <x v="17"/>
    <n v="2"/>
    <s v="Life Sciences"/>
    <n v="1"/>
    <n v="599"/>
    <n v="4"/>
    <x v="1"/>
    <n v="56"/>
    <n v="3"/>
    <x v="0"/>
    <x v="0"/>
    <n v="4"/>
    <s v="Single"/>
    <n v="6230"/>
    <n v="13430"/>
    <n v="7"/>
    <s v="Y"/>
    <x v="1"/>
    <n v="14"/>
    <n v="3"/>
    <n v="4"/>
    <n v="80"/>
    <n v="0"/>
    <n v="16"/>
    <n v="3"/>
    <n v="3"/>
    <x v="13"/>
    <n v="3"/>
    <n v="1"/>
    <n v="10"/>
  </r>
  <r>
    <n v="35"/>
    <x v="1"/>
    <s v="Travel_Rarely"/>
    <n v="619"/>
    <x v="0"/>
    <x v="0"/>
    <n v="3"/>
    <s v="Marketing"/>
    <n v="1"/>
    <n v="600"/>
    <n v="2"/>
    <x v="1"/>
    <n v="85"/>
    <n v="3"/>
    <x v="0"/>
    <x v="0"/>
    <n v="3"/>
    <s v="Married"/>
    <n v="4717"/>
    <n v="18659"/>
    <n v="9"/>
    <s v="Y"/>
    <x v="1"/>
    <n v="11"/>
    <n v="3"/>
    <n v="3"/>
    <n v="80"/>
    <n v="0"/>
    <n v="15"/>
    <n v="2"/>
    <n v="3"/>
    <x v="19"/>
    <n v="9"/>
    <n v="6"/>
    <n v="9"/>
  </r>
  <r>
    <n v="40"/>
    <x v="1"/>
    <s v="Travel_Rarely"/>
    <n v="302"/>
    <x v="1"/>
    <x v="16"/>
    <n v="3"/>
    <s v="Life Sciences"/>
    <n v="1"/>
    <n v="601"/>
    <n v="2"/>
    <x v="0"/>
    <n v="75"/>
    <n v="3"/>
    <x v="3"/>
    <x v="3"/>
    <n v="3"/>
    <s v="Single"/>
    <n v="13237"/>
    <n v="20364"/>
    <n v="7"/>
    <s v="Y"/>
    <x v="1"/>
    <n v="15"/>
    <n v="3"/>
    <n v="3"/>
    <n v="80"/>
    <n v="0"/>
    <n v="22"/>
    <n v="3"/>
    <n v="3"/>
    <x v="23"/>
    <n v="6"/>
    <n v="5"/>
    <n v="13"/>
  </r>
  <r>
    <n v="39"/>
    <x v="1"/>
    <s v="Travel_Frequently"/>
    <n v="443"/>
    <x v="1"/>
    <x v="1"/>
    <n v="1"/>
    <s v="Life Sciences"/>
    <n v="1"/>
    <n v="602"/>
    <n v="3"/>
    <x v="0"/>
    <n v="48"/>
    <n v="3"/>
    <x v="1"/>
    <x v="2"/>
    <n v="3"/>
    <s v="Married"/>
    <n v="3755"/>
    <n v="17872"/>
    <n v="1"/>
    <s v="Y"/>
    <x v="1"/>
    <n v="11"/>
    <n v="3"/>
    <n v="1"/>
    <n v="80"/>
    <n v="1"/>
    <n v="8"/>
    <n v="3"/>
    <n v="3"/>
    <x v="3"/>
    <n v="3"/>
    <n v="0"/>
    <n v="7"/>
  </r>
  <r>
    <n v="31"/>
    <x v="1"/>
    <s v="Travel_Rarely"/>
    <n v="828"/>
    <x v="0"/>
    <x v="2"/>
    <n v="1"/>
    <s v="Life Sciences"/>
    <n v="1"/>
    <n v="604"/>
    <n v="2"/>
    <x v="1"/>
    <n v="77"/>
    <n v="3"/>
    <x v="0"/>
    <x v="0"/>
    <n v="4"/>
    <s v="Single"/>
    <n v="6582"/>
    <n v="8346"/>
    <n v="4"/>
    <s v="Y"/>
    <x v="0"/>
    <n v="13"/>
    <n v="3"/>
    <n v="3"/>
    <n v="80"/>
    <n v="0"/>
    <n v="10"/>
    <n v="2"/>
    <n v="4"/>
    <x v="0"/>
    <n v="5"/>
    <n v="0"/>
    <n v="5"/>
  </r>
  <r>
    <n v="42"/>
    <x v="1"/>
    <s v="Travel_Rarely"/>
    <n v="319"/>
    <x v="1"/>
    <x v="4"/>
    <n v="3"/>
    <s v="Medical"/>
    <n v="1"/>
    <n v="605"/>
    <n v="4"/>
    <x v="1"/>
    <n v="56"/>
    <n v="3"/>
    <x v="2"/>
    <x v="3"/>
    <n v="1"/>
    <s v="Married"/>
    <n v="7406"/>
    <n v="6950"/>
    <n v="1"/>
    <s v="Y"/>
    <x v="0"/>
    <n v="21"/>
    <n v="4"/>
    <n v="4"/>
    <n v="80"/>
    <n v="1"/>
    <n v="10"/>
    <n v="5"/>
    <n v="2"/>
    <x v="1"/>
    <n v="9"/>
    <n v="5"/>
    <n v="8"/>
  </r>
  <r>
    <n v="45"/>
    <x v="1"/>
    <s v="Travel_Rarely"/>
    <n v="561"/>
    <x v="0"/>
    <x v="2"/>
    <n v="3"/>
    <s v="Other"/>
    <n v="1"/>
    <n v="606"/>
    <n v="4"/>
    <x v="1"/>
    <n v="61"/>
    <n v="3"/>
    <x v="0"/>
    <x v="0"/>
    <n v="2"/>
    <s v="Married"/>
    <n v="4805"/>
    <n v="16177"/>
    <n v="0"/>
    <s v="Y"/>
    <x v="1"/>
    <n v="19"/>
    <n v="3"/>
    <n v="2"/>
    <n v="80"/>
    <n v="1"/>
    <n v="9"/>
    <n v="3"/>
    <n v="4"/>
    <x v="3"/>
    <n v="7"/>
    <n v="3"/>
    <n v="7"/>
  </r>
  <r>
    <n v="26"/>
    <x v="0"/>
    <s v="Travel_Frequently"/>
    <n v="426"/>
    <x v="2"/>
    <x v="27"/>
    <n v="4"/>
    <s v="Life Sciences"/>
    <n v="1"/>
    <n v="608"/>
    <n v="2"/>
    <x v="0"/>
    <n v="58"/>
    <n v="3"/>
    <x v="1"/>
    <x v="8"/>
    <n v="3"/>
    <s v="Divorced"/>
    <n v="2741"/>
    <n v="22808"/>
    <n v="0"/>
    <s v="Y"/>
    <x v="0"/>
    <n v="11"/>
    <n v="3"/>
    <n v="2"/>
    <n v="80"/>
    <n v="1"/>
    <n v="8"/>
    <n v="2"/>
    <n v="2"/>
    <x v="5"/>
    <n v="7"/>
    <n v="1"/>
    <n v="0"/>
  </r>
  <r>
    <n v="29"/>
    <x v="1"/>
    <s v="Travel_Rarely"/>
    <n v="232"/>
    <x v="1"/>
    <x v="10"/>
    <n v="3"/>
    <s v="Technical Degree"/>
    <n v="1"/>
    <n v="611"/>
    <n v="4"/>
    <x v="1"/>
    <n v="34"/>
    <n v="3"/>
    <x v="0"/>
    <x v="3"/>
    <n v="4"/>
    <s v="Divorced"/>
    <n v="4262"/>
    <n v="22645"/>
    <n v="4"/>
    <s v="Y"/>
    <x v="1"/>
    <n v="12"/>
    <n v="3"/>
    <n v="2"/>
    <n v="80"/>
    <n v="2"/>
    <n v="8"/>
    <n v="2"/>
    <n v="4"/>
    <x v="11"/>
    <n v="2"/>
    <n v="1"/>
    <n v="2"/>
  </r>
  <r>
    <n v="33"/>
    <x v="1"/>
    <s v="Travel_Rarely"/>
    <n v="922"/>
    <x v="1"/>
    <x v="0"/>
    <n v="5"/>
    <s v="Medical"/>
    <n v="1"/>
    <n v="612"/>
    <n v="1"/>
    <x v="0"/>
    <n v="95"/>
    <n v="4"/>
    <x v="3"/>
    <x v="7"/>
    <n v="3"/>
    <s v="Divorced"/>
    <n v="16184"/>
    <n v="22578"/>
    <n v="4"/>
    <s v="Y"/>
    <x v="1"/>
    <n v="19"/>
    <n v="3"/>
    <n v="3"/>
    <n v="80"/>
    <n v="1"/>
    <n v="10"/>
    <n v="2"/>
    <n v="3"/>
    <x v="0"/>
    <n v="1"/>
    <n v="0"/>
    <n v="5"/>
  </r>
  <r>
    <n v="31"/>
    <x v="1"/>
    <s v="Travel_Rarely"/>
    <n v="688"/>
    <x v="0"/>
    <x v="15"/>
    <n v="3"/>
    <s v="Life Sciences"/>
    <n v="1"/>
    <n v="613"/>
    <n v="3"/>
    <x v="1"/>
    <n v="44"/>
    <n v="2"/>
    <x v="2"/>
    <x v="5"/>
    <n v="4"/>
    <s v="Divorced"/>
    <n v="11557"/>
    <n v="25291"/>
    <n v="9"/>
    <s v="Y"/>
    <x v="1"/>
    <n v="21"/>
    <n v="4"/>
    <n v="3"/>
    <n v="80"/>
    <n v="1"/>
    <n v="10"/>
    <n v="3"/>
    <n v="2"/>
    <x v="8"/>
    <n v="4"/>
    <n v="0"/>
    <n v="1"/>
  </r>
  <r>
    <n v="18"/>
    <x v="0"/>
    <s v="Travel_Frequently"/>
    <n v="1306"/>
    <x v="0"/>
    <x v="12"/>
    <n v="3"/>
    <s v="Marketing"/>
    <n v="1"/>
    <n v="614"/>
    <n v="2"/>
    <x v="1"/>
    <n v="69"/>
    <n v="3"/>
    <x v="1"/>
    <x v="6"/>
    <n v="2"/>
    <s v="Single"/>
    <n v="1878"/>
    <n v="8059"/>
    <n v="1"/>
    <s v="Y"/>
    <x v="0"/>
    <n v="14"/>
    <n v="3"/>
    <n v="4"/>
    <n v="80"/>
    <n v="0"/>
    <n v="0"/>
    <n v="3"/>
    <n v="3"/>
    <x v="2"/>
    <n v="0"/>
    <n v="0"/>
    <n v="0"/>
  </r>
  <r>
    <n v="40"/>
    <x v="1"/>
    <s v="Non-Travel"/>
    <n v="1094"/>
    <x v="0"/>
    <x v="26"/>
    <n v="3"/>
    <s v="Other"/>
    <n v="1"/>
    <n v="615"/>
    <n v="3"/>
    <x v="1"/>
    <n v="58"/>
    <n v="1"/>
    <x v="2"/>
    <x v="0"/>
    <n v="1"/>
    <s v="Divorced"/>
    <n v="10932"/>
    <n v="11373"/>
    <n v="3"/>
    <s v="Y"/>
    <x v="1"/>
    <n v="15"/>
    <n v="3"/>
    <n v="3"/>
    <n v="80"/>
    <n v="1"/>
    <n v="20"/>
    <n v="2"/>
    <n v="3"/>
    <x v="6"/>
    <n v="0"/>
    <n v="0"/>
    <n v="1"/>
  </r>
  <r>
    <n v="41"/>
    <x v="1"/>
    <s v="Non-Travel"/>
    <n v="509"/>
    <x v="1"/>
    <x v="2"/>
    <n v="4"/>
    <s v="Other"/>
    <n v="1"/>
    <n v="616"/>
    <n v="1"/>
    <x v="0"/>
    <n v="62"/>
    <n v="2"/>
    <x v="0"/>
    <x v="4"/>
    <n v="3"/>
    <s v="Single"/>
    <n v="6811"/>
    <n v="2112"/>
    <n v="2"/>
    <s v="Y"/>
    <x v="0"/>
    <n v="17"/>
    <n v="3"/>
    <n v="1"/>
    <n v="80"/>
    <n v="0"/>
    <n v="10"/>
    <n v="3"/>
    <n v="3"/>
    <x v="3"/>
    <n v="7"/>
    <n v="0"/>
    <n v="7"/>
  </r>
  <r>
    <n v="26"/>
    <x v="1"/>
    <s v="Travel_Rarely"/>
    <n v="775"/>
    <x v="0"/>
    <x v="22"/>
    <n v="2"/>
    <s v="Medical"/>
    <n v="1"/>
    <n v="618"/>
    <n v="1"/>
    <x v="1"/>
    <n v="45"/>
    <n v="3"/>
    <x v="0"/>
    <x v="0"/>
    <n v="3"/>
    <s v="Divorced"/>
    <n v="4306"/>
    <n v="4267"/>
    <n v="5"/>
    <s v="Y"/>
    <x v="1"/>
    <n v="12"/>
    <n v="3"/>
    <n v="1"/>
    <n v="80"/>
    <n v="2"/>
    <n v="8"/>
    <n v="5"/>
    <n v="3"/>
    <x v="2"/>
    <n v="0"/>
    <n v="0"/>
    <n v="0"/>
  </r>
  <r>
    <n v="35"/>
    <x v="1"/>
    <s v="Travel_Rarely"/>
    <n v="195"/>
    <x v="0"/>
    <x v="0"/>
    <n v="3"/>
    <s v="Medical"/>
    <n v="1"/>
    <n v="620"/>
    <n v="1"/>
    <x v="0"/>
    <n v="80"/>
    <n v="3"/>
    <x v="0"/>
    <x v="0"/>
    <n v="3"/>
    <s v="Single"/>
    <n v="4859"/>
    <n v="6698"/>
    <n v="1"/>
    <s v="Y"/>
    <x v="1"/>
    <n v="16"/>
    <n v="3"/>
    <n v="4"/>
    <n v="80"/>
    <n v="0"/>
    <n v="5"/>
    <n v="3"/>
    <n v="3"/>
    <x v="8"/>
    <n v="4"/>
    <n v="0"/>
    <n v="3"/>
  </r>
  <r>
    <n v="34"/>
    <x v="1"/>
    <s v="Travel_Rarely"/>
    <n v="258"/>
    <x v="0"/>
    <x v="11"/>
    <n v="4"/>
    <s v="Life Sciences"/>
    <n v="1"/>
    <n v="621"/>
    <n v="4"/>
    <x v="1"/>
    <n v="74"/>
    <n v="4"/>
    <x v="0"/>
    <x v="0"/>
    <n v="4"/>
    <s v="Single"/>
    <n v="5337"/>
    <n v="19921"/>
    <n v="1"/>
    <s v="Y"/>
    <x v="1"/>
    <n v="12"/>
    <n v="3"/>
    <n v="4"/>
    <n v="80"/>
    <n v="0"/>
    <n v="10"/>
    <n v="3"/>
    <n v="3"/>
    <x v="1"/>
    <n v="7"/>
    <n v="5"/>
    <n v="7"/>
  </r>
  <r>
    <n v="26"/>
    <x v="0"/>
    <s v="Travel_Rarely"/>
    <n v="471"/>
    <x v="1"/>
    <x v="4"/>
    <n v="3"/>
    <s v="Technical Degree"/>
    <n v="1"/>
    <n v="622"/>
    <n v="3"/>
    <x v="1"/>
    <n v="66"/>
    <n v="1"/>
    <x v="1"/>
    <x v="2"/>
    <n v="4"/>
    <s v="Single"/>
    <n v="2340"/>
    <n v="23213"/>
    <n v="1"/>
    <s v="Y"/>
    <x v="0"/>
    <n v="18"/>
    <n v="3"/>
    <n v="2"/>
    <n v="80"/>
    <n v="0"/>
    <n v="1"/>
    <n v="3"/>
    <n v="1"/>
    <x v="6"/>
    <n v="0"/>
    <n v="0"/>
    <n v="0"/>
  </r>
  <r>
    <n v="37"/>
    <x v="1"/>
    <s v="Travel_Rarely"/>
    <n v="799"/>
    <x v="1"/>
    <x v="0"/>
    <n v="3"/>
    <s v="Technical Degree"/>
    <n v="1"/>
    <n v="623"/>
    <n v="2"/>
    <x v="0"/>
    <n v="59"/>
    <n v="3"/>
    <x v="2"/>
    <x v="3"/>
    <n v="4"/>
    <s v="Single"/>
    <n v="7491"/>
    <n v="23848"/>
    <n v="4"/>
    <s v="Y"/>
    <x v="1"/>
    <n v="17"/>
    <n v="3"/>
    <n v="4"/>
    <n v="80"/>
    <n v="0"/>
    <n v="12"/>
    <n v="3"/>
    <n v="4"/>
    <x v="0"/>
    <n v="5"/>
    <n v="1"/>
    <n v="2"/>
  </r>
  <r>
    <n v="46"/>
    <x v="1"/>
    <s v="Travel_Frequently"/>
    <n v="1034"/>
    <x v="1"/>
    <x v="21"/>
    <n v="1"/>
    <s v="Medical"/>
    <n v="1"/>
    <n v="624"/>
    <n v="1"/>
    <x v="0"/>
    <n v="86"/>
    <n v="3"/>
    <x v="2"/>
    <x v="4"/>
    <n v="3"/>
    <s v="Married"/>
    <n v="10527"/>
    <n v="8984"/>
    <n v="5"/>
    <s v="Y"/>
    <x v="1"/>
    <n v="11"/>
    <n v="3"/>
    <n v="4"/>
    <n v="80"/>
    <n v="0"/>
    <n v="28"/>
    <n v="3"/>
    <n v="2"/>
    <x v="4"/>
    <n v="2"/>
    <n v="1"/>
    <n v="2"/>
  </r>
  <r>
    <n v="41"/>
    <x v="1"/>
    <s v="Travel_Rarely"/>
    <n v="1276"/>
    <x v="0"/>
    <x v="2"/>
    <n v="5"/>
    <s v="Life Sciences"/>
    <n v="1"/>
    <n v="625"/>
    <n v="2"/>
    <x v="0"/>
    <n v="91"/>
    <n v="3"/>
    <x v="3"/>
    <x v="5"/>
    <n v="1"/>
    <s v="Married"/>
    <n v="16595"/>
    <n v="5626"/>
    <n v="7"/>
    <s v="Y"/>
    <x v="1"/>
    <n v="16"/>
    <n v="3"/>
    <n v="2"/>
    <n v="80"/>
    <n v="1"/>
    <n v="22"/>
    <n v="2"/>
    <n v="3"/>
    <x v="29"/>
    <n v="16"/>
    <n v="11"/>
    <n v="8"/>
  </r>
  <r>
    <n v="37"/>
    <x v="1"/>
    <s v="Non-Travel"/>
    <n v="142"/>
    <x v="0"/>
    <x v="14"/>
    <n v="4"/>
    <s v="Medical"/>
    <n v="1"/>
    <n v="626"/>
    <n v="1"/>
    <x v="1"/>
    <n v="69"/>
    <n v="3"/>
    <x v="2"/>
    <x v="0"/>
    <n v="2"/>
    <s v="Divorced"/>
    <n v="8834"/>
    <n v="24666"/>
    <n v="1"/>
    <s v="Y"/>
    <x v="1"/>
    <n v="13"/>
    <n v="3"/>
    <n v="4"/>
    <n v="80"/>
    <n v="1"/>
    <n v="9"/>
    <n v="6"/>
    <n v="3"/>
    <x v="7"/>
    <n v="5"/>
    <n v="7"/>
    <n v="7"/>
  </r>
  <r>
    <n v="52"/>
    <x v="1"/>
    <s v="Travel_Rarely"/>
    <n v="956"/>
    <x v="1"/>
    <x v="16"/>
    <n v="2"/>
    <s v="Technical Degree"/>
    <n v="1"/>
    <n v="630"/>
    <n v="4"/>
    <x v="1"/>
    <n v="78"/>
    <n v="3"/>
    <x v="0"/>
    <x v="1"/>
    <n v="1"/>
    <s v="Divorced"/>
    <n v="5577"/>
    <n v="22087"/>
    <n v="3"/>
    <s v="Y"/>
    <x v="0"/>
    <n v="12"/>
    <n v="3"/>
    <n v="2"/>
    <n v="80"/>
    <n v="2"/>
    <n v="18"/>
    <n v="3"/>
    <n v="3"/>
    <x v="1"/>
    <n v="9"/>
    <n v="6"/>
    <n v="9"/>
  </r>
  <r>
    <n v="32"/>
    <x v="0"/>
    <s v="Non-Travel"/>
    <n v="1474"/>
    <x v="0"/>
    <x v="13"/>
    <n v="4"/>
    <s v="Other"/>
    <n v="1"/>
    <n v="631"/>
    <n v="4"/>
    <x v="1"/>
    <n v="60"/>
    <n v="4"/>
    <x v="0"/>
    <x v="0"/>
    <n v="3"/>
    <s v="Married"/>
    <n v="4707"/>
    <n v="23914"/>
    <n v="8"/>
    <s v="Y"/>
    <x v="1"/>
    <n v="12"/>
    <n v="3"/>
    <n v="4"/>
    <n v="80"/>
    <n v="0"/>
    <n v="6"/>
    <n v="2"/>
    <n v="3"/>
    <x v="9"/>
    <n v="2"/>
    <n v="1"/>
    <n v="2"/>
  </r>
  <r>
    <n v="24"/>
    <x v="1"/>
    <s v="Travel_Frequently"/>
    <n v="535"/>
    <x v="0"/>
    <x v="4"/>
    <n v="3"/>
    <s v="Medical"/>
    <n v="1"/>
    <n v="632"/>
    <n v="4"/>
    <x v="1"/>
    <n v="38"/>
    <n v="3"/>
    <x v="1"/>
    <x v="6"/>
    <n v="4"/>
    <s v="Married"/>
    <n v="2400"/>
    <n v="5530"/>
    <n v="0"/>
    <s v="Y"/>
    <x v="1"/>
    <n v="13"/>
    <n v="3"/>
    <n v="3"/>
    <n v="80"/>
    <n v="2"/>
    <n v="3"/>
    <n v="3"/>
    <n v="3"/>
    <x v="4"/>
    <n v="2"/>
    <n v="2"/>
    <n v="1"/>
  </r>
  <r>
    <n v="38"/>
    <x v="1"/>
    <s v="Travel_Rarely"/>
    <n v="1495"/>
    <x v="1"/>
    <x v="17"/>
    <n v="3"/>
    <s v="Medical"/>
    <n v="1"/>
    <n v="634"/>
    <n v="3"/>
    <x v="0"/>
    <n v="76"/>
    <n v="3"/>
    <x v="0"/>
    <x v="4"/>
    <n v="3"/>
    <s v="Married"/>
    <n v="9824"/>
    <n v="22174"/>
    <n v="3"/>
    <s v="Y"/>
    <x v="1"/>
    <n v="19"/>
    <n v="3"/>
    <n v="3"/>
    <n v="80"/>
    <n v="1"/>
    <n v="18"/>
    <n v="4"/>
    <n v="3"/>
    <x v="6"/>
    <n v="0"/>
    <n v="0"/>
    <n v="0"/>
  </r>
  <r>
    <n v="37"/>
    <x v="1"/>
    <s v="Travel_Rarely"/>
    <n v="446"/>
    <x v="1"/>
    <x v="0"/>
    <n v="4"/>
    <s v="Life Sciences"/>
    <n v="1"/>
    <n v="635"/>
    <n v="2"/>
    <x v="0"/>
    <n v="65"/>
    <n v="3"/>
    <x v="0"/>
    <x v="3"/>
    <n v="2"/>
    <s v="Married"/>
    <n v="6447"/>
    <n v="15701"/>
    <n v="6"/>
    <s v="Y"/>
    <x v="1"/>
    <n v="12"/>
    <n v="3"/>
    <n v="2"/>
    <n v="80"/>
    <n v="1"/>
    <n v="8"/>
    <n v="2"/>
    <n v="2"/>
    <x v="0"/>
    <n v="5"/>
    <n v="4"/>
    <n v="3"/>
  </r>
  <r>
    <n v="49"/>
    <x v="1"/>
    <s v="Travel_Rarely"/>
    <n v="1245"/>
    <x v="1"/>
    <x v="21"/>
    <n v="4"/>
    <s v="Life Sciences"/>
    <n v="1"/>
    <n v="638"/>
    <n v="4"/>
    <x v="1"/>
    <n v="58"/>
    <n v="2"/>
    <x v="4"/>
    <x v="7"/>
    <n v="3"/>
    <s v="Divorced"/>
    <n v="19502"/>
    <n v="2125"/>
    <n v="1"/>
    <s v="Y"/>
    <x v="0"/>
    <n v="17"/>
    <n v="3"/>
    <n v="3"/>
    <n v="80"/>
    <n v="1"/>
    <n v="31"/>
    <n v="5"/>
    <n v="3"/>
    <x v="31"/>
    <n v="9"/>
    <n v="0"/>
    <n v="9"/>
  </r>
  <r>
    <n v="24"/>
    <x v="1"/>
    <s v="Travel_Rarely"/>
    <n v="691"/>
    <x v="1"/>
    <x v="5"/>
    <n v="3"/>
    <s v="Medical"/>
    <n v="1"/>
    <n v="639"/>
    <n v="2"/>
    <x v="1"/>
    <n v="89"/>
    <n v="4"/>
    <x v="1"/>
    <x v="1"/>
    <n v="4"/>
    <s v="Married"/>
    <n v="2725"/>
    <n v="21630"/>
    <n v="1"/>
    <s v="Y"/>
    <x v="0"/>
    <n v="11"/>
    <n v="3"/>
    <n v="2"/>
    <n v="80"/>
    <n v="2"/>
    <n v="6"/>
    <n v="3"/>
    <n v="3"/>
    <x v="0"/>
    <n v="5"/>
    <n v="1"/>
    <n v="4"/>
  </r>
  <r>
    <n v="26"/>
    <x v="1"/>
    <s v="Travel_Rarely"/>
    <n v="703"/>
    <x v="0"/>
    <x v="26"/>
    <n v="2"/>
    <s v="Marketing"/>
    <n v="1"/>
    <n v="641"/>
    <n v="1"/>
    <x v="1"/>
    <n v="66"/>
    <n v="3"/>
    <x v="0"/>
    <x v="0"/>
    <n v="2"/>
    <s v="Married"/>
    <n v="6272"/>
    <n v="7428"/>
    <n v="1"/>
    <s v="Y"/>
    <x v="1"/>
    <n v="20"/>
    <n v="4"/>
    <n v="4"/>
    <n v="80"/>
    <n v="2"/>
    <n v="6"/>
    <n v="5"/>
    <n v="4"/>
    <x v="8"/>
    <n v="3"/>
    <n v="1"/>
    <n v="4"/>
  </r>
  <r>
    <n v="24"/>
    <x v="1"/>
    <s v="Travel_Rarely"/>
    <n v="823"/>
    <x v="1"/>
    <x v="27"/>
    <n v="2"/>
    <s v="Other"/>
    <n v="1"/>
    <n v="643"/>
    <n v="4"/>
    <x v="1"/>
    <n v="94"/>
    <n v="2"/>
    <x v="1"/>
    <x v="2"/>
    <n v="2"/>
    <s v="Married"/>
    <n v="2127"/>
    <n v="9100"/>
    <n v="1"/>
    <s v="Y"/>
    <x v="1"/>
    <n v="21"/>
    <n v="4"/>
    <n v="4"/>
    <n v="80"/>
    <n v="1"/>
    <n v="1"/>
    <n v="2"/>
    <n v="3"/>
    <x v="6"/>
    <n v="0"/>
    <n v="0"/>
    <n v="0"/>
  </r>
  <r>
    <n v="50"/>
    <x v="1"/>
    <s v="Travel_Frequently"/>
    <n v="1246"/>
    <x v="2"/>
    <x v="3"/>
    <n v="3"/>
    <s v="Medical"/>
    <n v="1"/>
    <n v="644"/>
    <n v="1"/>
    <x v="1"/>
    <n v="99"/>
    <n v="3"/>
    <x v="4"/>
    <x v="5"/>
    <n v="2"/>
    <s v="Married"/>
    <n v="18200"/>
    <n v="7999"/>
    <n v="1"/>
    <s v="Y"/>
    <x v="1"/>
    <n v="11"/>
    <n v="3"/>
    <n v="3"/>
    <n v="80"/>
    <n v="1"/>
    <n v="32"/>
    <n v="2"/>
    <n v="3"/>
    <x v="32"/>
    <n v="5"/>
    <n v="10"/>
    <n v="7"/>
  </r>
  <r>
    <n v="25"/>
    <x v="1"/>
    <s v="Travel_Rarely"/>
    <n v="622"/>
    <x v="0"/>
    <x v="28"/>
    <n v="1"/>
    <s v="Medical"/>
    <n v="1"/>
    <n v="645"/>
    <n v="2"/>
    <x v="1"/>
    <n v="40"/>
    <n v="3"/>
    <x v="1"/>
    <x v="6"/>
    <n v="3"/>
    <s v="Married"/>
    <n v="2096"/>
    <n v="26376"/>
    <n v="1"/>
    <s v="Y"/>
    <x v="1"/>
    <n v="11"/>
    <n v="3"/>
    <n v="3"/>
    <n v="80"/>
    <n v="0"/>
    <n v="7"/>
    <n v="1"/>
    <n v="3"/>
    <x v="5"/>
    <n v="4"/>
    <n v="0"/>
    <n v="6"/>
  </r>
  <r>
    <n v="24"/>
    <x v="0"/>
    <s v="Travel_Frequently"/>
    <n v="1287"/>
    <x v="1"/>
    <x v="15"/>
    <n v="3"/>
    <s v="Life Sciences"/>
    <n v="1"/>
    <n v="647"/>
    <n v="1"/>
    <x v="0"/>
    <n v="55"/>
    <n v="3"/>
    <x v="1"/>
    <x v="2"/>
    <n v="3"/>
    <s v="Married"/>
    <n v="2886"/>
    <n v="14168"/>
    <n v="1"/>
    <s v="Y"/>
    <x v="0"/>
    <n v="16"/>
    <n v="3"/>
    <n v="4"/>
    <n v="80"/>
    <n v="1"/>
    <n v="6"/>
    <n v="4"/>
    <n v="3"/>
    <x v="0"/>
    <n v="3"/>
    <n v="1"/>
    <n v="2"/>
  </r>
  <r>
    <n v="30"/>
    <x v="0"/>
    <s v="Travel_Frequently"/>
    <n v="448"/>
    <x v="0"/>
    <x v="20"/>
    <n v="4"/>
    <s v="Life Sciences"/>
    <n v="1"/>
    <n v="648"/>
    <n v="2"/>
    <x v="1"/>
    <n v="74"/>
    <n v="2"/>
    <x v="1"/>
    <x v="6"/>
    <n v="1"/>
    <s v="Married"/>
    <n v="2033"/>
    <n v="14470"/>
    <n v="1"/>
    <s v="Y"/>
    <x v="1"/>
    <n v="18"/>
    <n v="3"/>
    <n v="3"/>
    <n v="80"/>
    <n v="1"/>
    <n v="1"/>
    <n v="2"/>
    <n v="4"/>
    <x v="6"/>
    <n v="0"/>
    <n v="0"/>
    <n v="0"/>
  </r>
  <r>
    <n v="34"/>
    <x v="1"/>
    <s v="Travel_Rarely"/>
    <n v="254"/>
    <x v="1"/>
    <x v="0"/>
    <n v="2"/>
    <s v="Life Sciences"/>
    <n v="1"/>
    <n v="649"/>
    <n v="2"/>
    <x v="1"/>
    <n v="83"/>
    <n v="2"/>
    <x v="1"/>
    <x v="1"/>
    <n v="4"/>
    <s v="Married"/>
    <n v="3622"/>
    <n v="22794"/>
    <n v="1"/>
    <s v="Y"/>
    <x v="0"/>
    <n v="13"/>
    <n v="3"/>
    <n v="4"/>
    <n v="80"/>
    <n v="1"/>
    <n v="6"/>
    <n v="3"/>
    <n v="3"/>
    <x v="0"/>
    <n v="5"/>
    <n v="1"/>
    <n v="3"/>
  </r>
  <r>
    <n v="31"/>
    <x v="0"/>
    <s v="Travel_Rarely"/>
    <n v="1365"/>
    <x v="0"/>
    <x v="28"/>
    <n v="4"/>
    <s v="Medical"/>
    <n v="1"/>
    <n v="650"/>
    <n v="2"/>
    <x v="1"/>
    <n v="46"/>
    <n v="3"/>
    <x v="0"/>
    <x v="0"/>
    <n v="1"/>
    <s v="Divorced"/>
    <n v="4233"/>
    <n v="11512"/>
    <n v="2"/>
    <s v="Y"/>
    <x v="1"/>
    <n v="17"/>
    <n v="3"/>
    <n v="3"/>
    <n v="80"/>
    <n v="0"/>
    <n v="9"/>
    <n v="2"/>
    <n v="1"/>
    <x v="11"/>
    <n v="1"/>
    <n v="1"/>
    <n v="2"/>
  </r>
  <r>
    <n v="35"/>
    <x v="1"/>
    <s v="Travel_Rarely"/>
    <n v="538"/>
    <x v="1"/>
    <x v="19"/>
    <n v="2"/>
    <s v="Other"/>
    <n v="1"/>
    <n v="652"/>
    <n v="1"/>
    <x v="1"/>
    <n v="54"/>
    <n v="2"/>
    <x v="0"/>
    <x v="2"/>
    <n v="4"/>
    <s v="Single"/>
    <n v="3681"/>
    <n v="14004"/>
    <n v="4"/>
    <s v="Y"/>
    <x v="1"/>
    <n v="14"/>
    <n v="3"/>
    <n v="4"/>
    <n v="80"/>
    <n v="0"/>
    <n v="9"/>
    <n v="3"/>
    <n v="3"/>
    <x v="11"/>
    <n v="2"/>
    <n v="0"/>
    <n v="2"/>
  </r>
  <r>
    <n v="31"/>
    <x v="1"/>
    <s v="Travel_Rarely"/>
    <n v="525"/>
    <x v="0"/>
    <x v="16"/>
    <n v="4"/>
    <s v="Medical"/>
    <n v="1"/>
    <n v="653"/>
    <n v="1"/>
    <x v="1"/>
    <n v="66"/>
    <n v="4"/>
    <x v="0"/>
    <x v="0"/>
    <n v="4"/>
    <s v="Divorced"/>
    <n v="5460"/>
    <n v="6219"/>
    <n v="4"/>
    <s v="Y"/>
    <x v="1"/>
    <n v="22"/>
    <n v="4"/>
    <n v="4"/>
    <n v="80"/>
    <n v="2"/>
    <n v="13"/>
    <n v="4"/>
    <n v="4"/>
    <x v="5"/>
    <n v="7"/>
    <n v="5"/>
    <n v="7"/>
  </r>
  <r>
    <n v="27"/>
    <x v="1"/>
    <s v="Travel_Rarely"/>
    <n v="798"/>
    <x v="1"/>
    <x v="16"/>
    <n v="4"/>
    <s v="Medical"/>
    <n v="1"/>
    <n v="655"/>
    <n v="1"/>
    <x v="0"/>
    <n v="66"/>
    <n v="2"/>
    <x v="1"/>
    <x v="1"/>
    <n v="3"/>
    <s v="Divorced"/>
    <n v="2187"/>
    <n v="5013"/>
    <n v="0"/>
    <s v="Y"/>
    <x v="1"/>
    <n v="12"/>
    <n v="3"/>
    <n v="3"/>
    <n v="80"/>
    <n v="2"/>
    <n v="6"/>
    <n v="5"/>
    <n v="2"/>
    <x v="8"/>
    <n v="3"/>
    <n v="0"/>
    <n v="3"/>
  </r>
  <r>
    <n v="37"/>
    <x v="1"/>
    <s v="Travel_Rarely"/>
    <n v="558"/>
    <x v="0"/>
    <x v="2"/>
    <n v="3"/>
    <s v="Marketing"/>
    <n v="1"/>
    <n v="656"/>
    <n v="4"/>
    <x v="1"/>
    <n v="75"/>
    <n v="3"/>
    <x v="0"/>
    <x v="0"/>
    <n v="3"/>
    <s v="Married"/>
    <n v="9602"/>
    <n v="3010"/>
    <n v="4"/>
    <s v="Y"/>
    <x v="0"/>
    <n v="11"/>
    <n v="3"/>
    <n v="3"/>
    <n v="80"/>
    <n v="1"/>
    <n v="17"/>
    <n v="3"/>
    <n v="2"/>
    <x v="11"/>
    <n v="0"/>
    <n v="1"/>
    <n v="0"/>
  </r>
  <r>
    <n v="20"/>
    <x v="1"/>
    <s v="Travel_Rarely"/>
    <n v="959"/>
    <x v="1"/>
    <x v="0"/>
    <n v="3"/>
    <s v="Life Sciences"/>
    <n v="1"/>
    <n v="657"/>
    <n v="4"/>
    <x v="0"/>
    <n v="83"/>
    <n v="2"/>
    <x v="1"/>
    <x v="1"/>
    <n v="2"/>
    <s v="Single"/>
    <n v="2836"/>
    <n v="11757"/>
    <n v="1"/>
    <s v="Y"/>
    <x v="1"/>
    <n v="13"/>
    <n v="3"/>
    <n v="4"/>
    <n v="80"/>
    <n v="0"/>
    <n v="1"/>
    <n v="0"/>
    <n v="4"/>
    <x v="6"/>
    <n v="0"/>
    <n v="0"/>
    <n v="0"/>
  </r>
  <r>
    <n v="42"/>
    <x v="1"/>
    <s v="Travel_Rarely"/>
    <n v="622"/>
    <x v="1"/>
    <x v="2"/>
    <n v="4"/>
    <s v="Life Sciences"/>
    <n v="1"/>
    <n v="659"/>
    <n v="3"/>
    <x v="0"/>
    <n v="81"/>
    <n v="3"/>
    <x v="0"/>
    <x v="4"/>
    <n v="4"/>
    <s v="Married"/>
    <n v="4089"/>
    <n v="5718"/>
    <n v="1"/>
    <s v="Y"/>
    <x v="1"/>
    <n v="13"/>
    <n v="3"/>
    <n v="2"/>
    <n v="80"/>
    <n v="2"/>
    <n v="10"/>
    <n v="4"/>
    <n v="3"/>
    <x v="1"/>
    <n v="2"/>
    <n v="2"/>
    <n v="2"/>
  </r>
  <r>
    <n v="43"/>
    <x v="1"/>
    <s v="Travel_Rarely"/>
    <n v="782"/>
    <x v="1"/>
    <x v="16"/>
    <n v="4"/>
    <s v="Other"/>
    <n v="1"/>
    <n v="661"/>
    <n v="2"/>
    <x v="1"/>
    <n v="50"/>
    <n v="2"/>
    <x v="3"/>
    <x v="7"/>
    <n v="4"/>
    <s v="Divorced"/>
    <n v="16627"/>
    <n v="2671"/>
    <n v="4"/>
    <s v="Y"/>
    <x v="0"/>
    <n v="14"/>
    <n v="3"/>
    <n v="3"/>
    <n v="80"/>
    <n v="1"/>
    <n v="21"/>
    <n v="3"/>
    <n v="2"/>
    <x v="6"/>
    <n v="0"/>
    <n v="0"/>
    <n v="0"/>
  </r>
  <r>
    <n v="38"/>
    <x v="1"/>
    <s v="Travel_Rarely"/>
    <n v="362"/>
    <x v="1"/>
    <x v="0"/>
    <n v="1"/>
    <s v="Life Sciences"/>
    <n v="1"/>
    <n v="662"/>
    <n v="3"/>
    <x v="0"/>
    <n v="43"/>
    <n v="3"/>
    <x v="1"/>
    <x v="1"/>
    <n v="1"/>
    <s v="Single"/>
    <n v="2619"/>
    <n v="14561"/>
    <n v="3"/>
    <s v="Y"/>
    <x v="1"/>
    <n v="17"/>
    <n v="3"/>
    <n v="4"/>
    <n v="80"/>
    <n v="0"/>
    <n v="8"/>
    <n v="3"/>
    <n v="2"/>
    <x v="2"/>
    <n v="0"/>
    <n v="0"/>
    <n v="0"/>
  </r>
  <r>
    <n v="43"/>
    <x v="1"/>
    <s v="Travel_Frequently"/>
    <n v="1001"/>
    <x v="1"/>
    <x v="14"/>
    <n v="5"/>
    <s v="Medical"/>
    <n v="1"/>
    <n v="663"/>
    <n v="4"/>
    <x v="1"/>
    <n v="72"/>
    <n v="3"/>
    <x v="0"/>
    <x v="2"/>
    <n v="3"/>
    <s v="Divorced"/>
    <n v="5679"/>
    <n v="19627"/>
    <n v="3"/>
    <s v="Y"/>
    <x v="0"/>
    <n v="13"/>
    <n v="3"/>
    <n v="2"/>
    <n v="80"/>
    <n v="1"/>
    <n v="10"/>
    <n v="3"/>
    <n v="3"/>
    <x v="3"/>
    <n v="7"/>
    <n v="4"/>
    <n v="7"/>
  </r>
  <r>
    <n v="48"/>
    <x v="1"/>
    <s v="Travel_Rarely"/>
    <n v="1236"/>
    <x v="1"/>
    <x v="0"/>
    <n v="4"/>
    <s v="Life Sciences"/>
    <n v="1"/>
    <n v="664"/>
    <n v="4"/>
    <x v="0"/>
    <n v="40"/>
    <n v="2"/>
    <x v="3"/>
    <x v="5"/>
    <n v="1"/>
    <s v="Married"/>
    <n v="15402"/>
    <n v="17997"/>
    <n v="7"/>
    <s v="Y"/>
    <x v="1"/>
    <n v="11"/>
    <n v="3"/>
    <n v="1"/>
    <n v="80"/>
    <n v="1"/>
    <n v="21"/>
    <n v="3"/>
    <n v="1"/>
    <x v="11"/>
    <n v="2"/>
    <n v="0"/>
    <n v="2"/>
  </r>
  <r>
    <n v="44"/>
    <x v="1"/>
    <s v="Travel_Rarely"/>
    <n v="1112"/>
    <x v="2"/>
    <x v="0"/>
    <n v="4"/>
    <s v="Life Sciences"/>
    <n v="1"/>
    <n v="665"/>
    <n v="1"/>
    <x v="0"/>
    <n v="50"/>
    <n v="2"/>
    <x v="0"/>
    <x v="8"/>
    <n v="3"/>
    <s v="Single"/>
    <n v="5985"/>
    <n v="26894"/>
    <n v="4"/>
    <s v="Y"/>
    <x v="1"/>
    <n v="11"/>
    <n v="3"/>
    <n v="2"/>
    <n v="80"/>
    <n v="0"/>
    <n v="10"/>
    <n v="1"/>
    <n v="4"/>
    <x v="4"/>
    <n v="2"/>
    <n v="0"/>
    <n v="2"/>
  </r>
  <r>
    <n v="34"/>
    <x v="1"/>
    <s v="Travel_Rarely"/>
    <n v="204"/>
    <x v="0"/>
    <x v="24"/>
    <n v="3"/>
    <s v="Technical Degree"/>
    <n v="1"/>
    <n v="666"/>
    <n v="3"/>
    <x v="0"/>
    <n v="31"/>
    <n v="3"/>
    <x v="1"/>
    <x v="6"/>
    <n v="3"/>
    <s v="Divorced"/>
    <n v="2579"/>
    <n v="2912"/>
    <n v="1"/>
    <s v="Y"/>
    <x v="0"/>
    <n v="18"/>
    <n v="3"/>
    <n v="4"/>
    <n v="80"/>
    <n v="2"/>
    <n v="8"/>
    <n v="3"/>
    <n v="3"/>
    <x v="3"/>
    <n v="2"/>
    <n v="0"/>
    <n v="6"/>
  </r>
  <r>
    <n v="27"/>
    <x v="0"/>
    <s v="Travel_Rarely"/>
    <n v="1420"/>
    <x v="0"/>
    <x v="2"/>
    <n v="1"/>
    <s v="Marketing"/>
    <n v="1"/>
    <n v="667"/>
    <n v="3"/>
    <x v="1"/>
    <n v="85"/>
    <n v="3"/>
    <x v="1"/>
    <x v="6"/>
    <n v="1"/>
    <s v="Divorced"/>
    <n v="3041"/>
    <n v="16346"/>
    <n v="0"/>
    <s v="Y"/>
    <x v="1"/>
    <n v="11"/>
    <n v="3"/>
    <n v="2"/>
    <n v="80"/>
    <n v="1"/>
    <n v="5"/>
    <n v="3"/>
    <n v="3"/>
    <x v="9"/>
    <n v="3"/>
    <n v="0"/>
    <n v="2"/>
  </r>
  <r>
    <n v="21"/>
    <x v="1"/>
    <s v="Travel_Rarely"/>
    <n v="1343"/>
    <x v="0"/>
    <x v="23"/>
    <n v="1"/>
    <s v="Technical Degree"/>
    <n v="1"/>
    <n v="669"/>
    <n v="3"/>
    <x v="1"/>
    <n v="49"/>
    <n v="3"/>
    <x v="1"/>
    <x v="6"/>
    <n v="3"/>
    <s v="Single"/>
    <n v="3447"/>
    <n v="24444"/>
    <n v="1"/>
    <s v="Y"/>
    <x v="1"/>
    <n v="11"/>
    <n v="3"/>
    <n v="3"/>
    <n v="80"/>
    <n v="0"/>
    <n v="3"/>
    <n v="2"/>
    <n v="3"/>
    <x v="11"/>
    <n v="2"/>
    <n v="1"/>
    <n v="2"/>
  </r>
  <r>
    <n v="44"/>
    <x v="1"/>
    <s v="Travel_Rarely"/>
    <n v="1315"/>
    <x v="1"/>
    <x v="3"/>
    <n v="4"/>
    <s v="Other"/>
    <n v="1"/>
    <n v="671"/>
    <n v="4"/>
    <x v="1"/>
    <n v="35"/>
    <n v="3"/>
    <x v="4"/>
    <x v="5"/>
    <n v="4"/>
    <s v="Married"/>
    <n v="19513"/>
    <n v="9358"/>
    <n v="4"/>
    <s v="Y"/>
    <x v="0"/>
    <n v="12"/>
    <n v="3"/>
    <n v="1"/>
    <n v="80"/>
    <n v="1"/>
    <n v="26"/>
    <n v="2"/>
    <n v="4"/>
    <x v="4"/>
    <n v="2"/>
    <n v="0"/>
    <n v="1"/>
  </r>
  <r>
    <n v="22"/>
    <x v="1"/>
    <s v="Travel_Rarely"/>
    <n v="604"/>
    <x v="1"/>
    <x v="16"/>
    <n v="1"/>
    <s v="Medical"/>
    <n v="1"/>
    <n v="675"/>
    <n v="1"/>
    <x v="1"/>
    <n v="69"/>
    <n v="3"/>
    <x v="1"/>
    <x v="1"/>
    <n v="3"/>
    <s v="Married"/>
    <n v="2773"/>
    <n v="12145"/>
    <n v="0"/>
    <s v="Y"/>
    <x v="1"/>
    <n v="20"/>
    <n v="4"/>
    <n v="4"/>
    <n v="80"/>
    <n v="0"/>
    <n v="3"/>
    <n v="3"/>
    <n v="3"/>
    <x v="4"/>
    <n v="2"/>
    <n v="2"/>
    <n v="2"/>
  </r>
  <r>
    <n v="33"/>
    <x v="1"/>
    <s v="Travel_Rarely"/>
    <n v="1216"/>
    <x v="0"/>
    <x v="1"/>
    <n v="4"/>
    <s v="Marketing"/>
    <n v="1"/>
    <n v="677"/>
    <n v="3"/>
    <x v="1"/>
    <n v="39"/>
    <n v="3"/>
    <x v="0"/>
    <x v="0"/>
    <n v="3"/>
    <s v="Divorced"/>
    <n v="7104"/>
    <n v="20431"/>
    <n v="0"/>
    <s v="Y"/>
    <x v="1"/>
    <n v="12"/>
    <n v="3"/>
    <n v="4"/>
    <n v="80"/>
    <n v="0"/>
    <n v="6"/>
    <n v="3"/>
    <n v="3"/>
    <x v="8"/>
    <n v="0"/>
    <n v="1"/>
    <n v="2"/>
  </r>
  <r>
    <n v="32"/>
    <x v="1"/>
    <s v="Travel_Rarely"/>
    <n v="646"/>
    <x v="1"/>
    <x v="14"/>
    <n v="4"/>
    <s v="Life Sciences"/>
    <n v="1"/>
    <n v="679"/>
    <n v="1"/>
    <x v="0"/>
    <n v="92"/>
    <n v="3"/>
    <x v="0"/>
    <x v="1"/>
    <n v="4"/>
    <s v="Married"/>
    <n v="6322"/>
    <n v="18089"/>
    <n v="1"/>
    <s v="Y"/>
    <x v="0"/>
    <n v="12"/>
    <n v="3"/>
    <n v="4"/>
    <n v="80"/>
    <n v="1"/>
    <n v="6"/>
    <n v="2"/>
    <n v="2"/>
    <x v="0"/>
    <n v="4"/>
    <n v="0"/>
    <n v="5"/>
  </r>
  <r>
    <n v="30"/>
    <x v="1"/>
    <s v="Travel_Frequently"/>
    <n v="160"/>
    <x v="1"/>
    <x v="3"/>
    <n v="3"/>
    <s v="Medical"/>
    <n v="1"/>
    <n v="680"/>
    <n v="3"/>
    <x v="0"/>
    <n v="71"/>
    <n v="3"/>
    <x v="1"/>
    <x v="1"/>
    <n v="3"/>
    <s v="Divorced"/>
    <n v="2083"/>
    <n v="22653"/>
    <n v="1"/>
    <s v="Y"/>
    <x v="1"/>
    <n v="20"/>
    <n v="4"/>
    <n v="3"/>
    <n v="80"/>
    <n v="1"/>
    <n v="1"/>
    <n v="2"/>
    <n v="3"/>
    <x v="6"/>
    <n v="0"/>
    <n v="0"/>
    <n v="0"/>
  </r>
  <r>
    <n v="53"/>
    <x v="1"/>
    <s v="Travel_Rarely"/>
    <n v="238"/>
    <x v="0"/>
    <x v="0"/>
    <n v="1"/>
    <s v="Medical"/>
    <n v="1"/>
    <n v="682"/>
    <n v="4"/>
    <x v="0"/>
    <n v="34"/>
    <n v="3"/>
    <x v="0"/>
    <x v="0"/>
    <n v="1"/>
    <s v="Single"/>
    <n v="8381"/>
    <n v="7507"/>
    <n v="7"/>
    <s v="Y"/>
    <x v="1"/>
    <n v="20"/>
    <n v="4"/>
    <n v="4"/>
    <n v="80"/>
    <n v="0"/>
    <n v="18"/>
    <n v="2"/>
    <n v="4"/>
    <x v="13"/>
    <n v="7"/>
    <n v="8"/>
    <n v="10"/>
  </r>
  <r>
    <n v="34"/>
    <x v="1"/>
    <s v="Travel_Rarely"/>
    <n v="1397"/>
    <x v="1"/>
    <x v="0"/>
    <n v="5"/>
    <s v="Life Sciences"/>
    <n v="1"/>
    <n v="683"/>
    <n v="2"/>
    <x v="1"/>
    <n v="42"/>
    <n v="3"/>
    <x v="1"/>
    <x v="1"/>
    <n v="4"/>
    <s v="Married"/>
    <n v="2691"/>
    <n v="7660"/>
    <n v="1"/>
    <s v="Y"/>
    <x v="1"/>
    <n v="12"/>
    <n v="3"/>
    <n v="4"/>
    <n v="80"/>
    <n v="1"/>
    <n v="10"/>
    <n v="4"/>
    <n v="2"/>
    <x v="1"/>
    <n v="9"/>
    <n v="8"/>
    <n v="8"/>
  </r>
  <r>
    <n v="45"/>
    <x v="0"/>
    <s v="Travel_Frequently"/>
    <n v="306"/>
    <x v="0"/>
    <x v="9"/>
    <n v="4"/>
    <s v="Life Sciences"/>
    <n v="1"/>
    <n v="684"/>
    <n v="1"/>
    <x v="0"/>
    <n v="100"/>
    <n v="3"/>
    <x v="0"/>
    <x v="0"/>
    <n v="1"/>
    <s v="Married"/>
    <n v="4286"/>
    <n v="5630"/>
    <n v="2"/>
    <s v="Y"/>
    <x v="1"/>
    <n v="14"/>
    <n v="3"/>
    <n v="4"/>
    <n v="80"/>
    <n v="2"/>
    <n v="5"/>
    <n v="4"/>
    <n v="3"/>
    <x v="6"/>
    <n v="1"/>
    <n v="0"/>
    <n v="0"/>
  </r>
  <r>
    <n v="26"/>
    <x v="1"/>
    <s v="Travel_Rarely"/>
    <n v="991"/>
    <x v="1"/>
    <x v="16"/>
    <n v="3"/>
    <s v="Life Sciences"/>
    <n v="1"/>
    <n v="686"/>
    <n v="3"/>
    <x v="0"/>
    <n v="71"/>
    <n v="3"/>
    <x v="1"/>
    <x v="2"/>
    <n v="4"/>
    <s v="Married"/>
    <n v="2659"/>
    <n v="17759"/>
    <n v="1"/>
    <s v="Y"/>
    <x v="0"/>
    <n v="13"/>
    <n v="3"/>
    <n v="3"/>
    <n v="80"/>
    <n v="1"/>
    <n v="3"/>
    <n v="2"/>
    <n v="3"/>
    <x v="11"/>
    <n v="2"/>
    <n v="0"/>
    <n v="2"/>
  </r>
  <r>
    <n v="37"/>
    <x v="1"/>
    <s v="Travel_Rarely"/>
    <n v="482"/>
    <x v="1"/>
    <x v="3"/>
    <n v="3"/>
    <s v="Other"/>
    <n v="1"/>
    <n v="689"/>
    <n v="3"/>
    <x v="1"/>
    <n v="36"/>
    <n v="3"/>
    <x v="2"/>
    <x v="3"/>
    <n v="3"/>
    <s v="Married"/>
    <n v="9434"/>
    <n v="9606"/>
    <n v="1"/>
    <s v="Y"/>
    <x v="1"/>
    <n v="15"/>
    <n v="3"/>
    <n v="3"/>
    <n v="80"/>
    <n v="1"/>
    <n v="10"/>
    <n v="2"/>
    <n v="3"/>
    <x v="1"/>
    <n v="7"/>
    <n v="7"/>
    <n v="8"/>
  </r>
  <r>
    <n v="29"/>
    <x v="1"/>
    <s v="Travel_Rarely"/>
    <n v="1176"/>
    <x v="0"/>
    <x v="3"/>
    <n v="2"/>
    <s v="Medical"/>
    <n v="1"/>
    <n v="690"/>
    <n v="2"/>
    <x v="0"/>
    <n v="62"/>
    <n v="3"/>
    <x v="0"/>
    <x v="0"/>
    <n v="3"/>
    <s v="Married"/>
    <n v="5561"/>
    <n v="3487"/>
    <n v="1"/>
    <s v="Y"/>
    <x v="1"/>
    <n v="14"/>
    <n v="3"/>
    <n v="1"/>
    <n v="80"/>
    <n v="1"/>
    <n v="6"/>
    <n v="5"/>
    <n v="2"/>
    <x v="0"/>
    <n v="0"/>
    <n v="1"/>
    <n v="2"/>
  </r>
  <r>
    <n v="35"/>
    <x v="1"/>
    <s v="Travel_Rarely"/>
    <n v="1017"/>
    <x v="1"/>
    <x v="16"/>
    <n v="4"/>
    <s v="Life Sciences"/>
    <n v="1"/>
    <n v="691"/>
    <n v="2"/>
    <x v="1"/>
    <n v="82"/>
    <n v="1"/>
    <x v="0"/>
    <x v="1"/>
    <n v="4"/>
    <s v="Single"/>
    <n v="6646"/>
    <n v="19368"/>
    <n v="1"/>
    <s v="Y"/>
    <x v="1"/>
    <n v="13"/>
    <n v="3"/>
    <n v="2"/>
    <n v="80"/>
    <n v="0"/>
    <n v="17"/>
    <n v="3"/>
    <n v="3"/>
    <x v="18"/>
    <n v="11"/>
    <n v="11"/>
    <n v="8"/>
  </r>
  <r>
    <n v="33"/>
    <x v="1"/>
    <s v="Travel_Frequently"/>
    <n v="1296"/>
    <x v="1"/>
    <x v="16"/>
    <n v="3"/>
    <s v="Life Sciences"/>
    <n v="1"/>
    <n v="692"/>
    <n v="3"/>
    <x v="1"/>
    <n v="30"/>
    <n v="3"/>
    <x v="0"/>
    <x v="4"/>
    <n v="4"/>
    <s v="Divorced"/>
    <n v="7725"/>
    <n v="5335"/>
    <n v="3"/>
    <s v="Y"/>
    <x v="1"/>
    <n v="23"/>
    <n v="4"/>
    <n v="3"/>
    <n v="80"/>
    <n v="1"/>
    <n v="15"/>
    <n v="2"/>
    <n v="1"/>
    <x v="20"/>
    <n v="11"/>
    <n v="4"/>
    <n v="7"/>
  </r>
  <r>
    <n v="54"/>
    <x v="1"/>
    <s v="Travel_Rarely"/>
    <n v="397"/>
    <x v="2"/>
    <x v="10"/>
    <n v="4"/>
    <s v="Medical"/>
    <n v="1"/>
    <n v="698"/>
    <n v="3"/>
    <x v="1"/>
    <n v="88"/>
    <n v="3"/>
    <x v="2"/>
    <x v="8"/>
    <n v="2"/>
    <s v="Married"/>
    <n v="10725"/>
    <n v="6729"/>
    <n v="2"/>
    <s v="Y"/>
    <x v="1"/>
    <n v="15"/>
    <n v="3"/>
    <n v="3"/>
    <n v="80"/>
    <n v="1"/>
    <n v="16"/>
    <n v="1"/>
    <n v="4"/>
    <x v="7"/>
    <n v="7"/>
    <n v="7"/>
    <n v="1"/>
  </r>
  <r>
    <n v="36"/>
    <x v="1"/>
    <s v="Travel_Rarely"/>
    <n v="913"/>
    <x v="1"/>
    <x v="14"/>
    <n v="2"/>
    <s v="Medical"/>
    <n v="1"/>
    <n v="699"/>
    <n v="2"/>
    <x v="1"/>
    <n v="48"/>
    <n v="2"/>
    <x v="0"/>
    <x v="3"/>
    <n v="2"/>
    <s v="Divorced"/>
    <n v="8847"/>
    <n v="13934"/>
    <n v="2"/>
    <s v="Y"/>
    <x v="0"/>
    <n v="11"/>
    <n v="3"/>
    <n v="3"/>
    <n v="80"/>
    <n v="1"/>
    <n v="13"/>
    <n v="2"/>
    <n v="3"/>
    <x v="11"/>
    <n v="2"/>
    <n v="0"/>
    <n v="2"/>
  </r>
  <r>
    <n v="27"/>
    <x v="1"/>
    <s v="Travel_Rarely"/>
    <n v="1115"/>
    <x v="1"/>
    <x v="3"/>
    <n v="4"/>
    <s v="Medical"/>
    <n v="1"/>
    <n v="700"/>
    <n v="1"/>
    <x v="1"/>
    <n v="54"/>
    <n v="2"/>
    <x v="1"/>
    <x v="1"/>
    <n v="4"/>
    <s v="Single"/>
    <n v="2045"/>
    <n v="15174"/>
    <n v="0"/>
    <s v="Y"/>
    <x v="1"/>
    <n v="13"/>
    <n v="3"/>
    <n v="4"/>
    <n v="80"/>
    <n v="0"/>
    <n v="5"/>
    <n v="0"/>
    <n v="3"/>
    <x v="9"/>
    <n v="2"/>
    <n v="1"/>
    <n v="1"/>
  </r>
  <r>
    <n v="20"/>
    <x v="0"/>
    <s v="Travel_Rarely"/>
    <n v="1362"/>
    <x v="1"/>
    <x v="17"/>
    <n v="1"/>
    <s v="Medical"/>
    <n v="1"/>
    <n v="701"/>
    <n v="4"/>
    <x v="1"/>
    <n v="32"/>
    <n v="3"/>
    <x v="1"/>
    <x v="1"/>
    <n v="3"/>
    <s v="Single"/>
    <n v="1009"/>
    <n v="26999"/>
    <n v="1"/>
    <s v="Y"/>
    <x v="0"/>
    <n v="11"/>
    <n v="3"/>
    <n v="4"/>
    <n v="80"/>
    <n v="0"/>
    <n v="1"/>
    <n v="5"/>
    <n v="3"/>
    <x v="6"/>
    <n v="0"/>
    <n v="1"/>
    <n v="1"/>
  </r>
  <r>
    <n v="33"/>
    <x v="0"/>
    <s v="Travel_Frequently"/>
    <n v="1076"/>
    <x v="1"/>
    <x v="3"/>
    <n v="3"/>
    <s v="Life Sciences"/>
    <n v="1"/>
    <n v="702"/>
    <n v="1"/>
    <x v="1"/>
    <n v="70"/>
    <n v="3"/>
    <x v="1"/>
    <x v="1"/>
    <n v="1"/>
    <s v="Single"/>
    <n v="3348"/>
    <n v="3164"/>
    <n v="1"/>
    <s v="Y"/>
    <x v="0"/>
    <n v="11"/>
    <n v="3"/>
    <n v="1"/>
    <n v="80"/>
    <n v="0"/>
    <n v="10"/>
    <n v="3"/>
    <n v="3"/>
    <x v="1"/>
    <n v="8"/>
    <n v="9"/>
    <n v="7"/>
  </r>
  <r>
    <n v="35"/>
    <x v="1"/>
    <s v="Non-Travel"/>
    <n v="727"/>
    <x v="1"/>
    <x v="3"/>
    <n v="3"/>
    <s v="Life Sciences"/>
    <n v="1"/>
    <n v="704"/>
    <n v="3"/>
    <x v="1"/>
    <n v="41"/>
    <n v="2"/>
    <x v="1"/>
    <x v="2"/>
    <n v="3"/>
    <s v="Married"/>
    <n v="1281"/>
    <n v="16900"/>
    <n v="1"/>
    <s v="Y"/>
    <x v="1"/>
    <n v="18"/>
    <n v="3"/>
    <n v="3"/>
    <n v="80"/>
    <n v="2"/>
    <n v="1"/>
    <n v="3"/>
    <n v="3"/>
    <x v="6"/>
    <n v="0"/>
    <n v="0"/>
    <n v="0"/>
  </r>
  <r>
    <n v="23"/>
    <x v="1"/>
    <s v="Travel_Rarely"/>
    <n v="885"/>
    <x v="1"/>
    <x v="18"/>
    <n v="3"/>
    <s v="Medical"/>
    <n v="1"/>
    <n v="705"/>
    <n v="1"/>
    <x v="1"/>
    <n v="58"/>
    <n v="4"/>
    <x v="1"/>
    <x v="1"/>
    <n v="1"/>
    <s v="Married"/>
    <n v="2819"/>
    <n v="8544"/>
    <n v="2"/>
    <s v="Y"/>
    <x v="1"/>
    <n v="16"/>
    <n v="3"/>
    <n v="1"/>
    <n v="80"/>
    <n v="1"/>
    <n v="5"/>
    <n v="3"/>
    <n v="4"/>
    <x v="11"/>
    <n v="2"/>
    <n v="0"/>
    <n v="2"/>
  </r>
  <r>
    <n v="25"/>
    <x v="1"/>
    <s v="Travel_Rarely"/>
    <n v="810"/>
    <x v="0"/>
    <x v="1"/>
    <n v="3"/>
    <s v="Life Sciences"/>
    <n v="1"/>
    <n v="707"/>
    <n v="4"/>
    <x v="1"/>
    <n v="57"/>
    <n v="4"/>
    <x v="0"/>
    <x v="0"/>
    <n v="2"/>
    <s v="Married"/>
    <n v="4851"/>
    <n v="15678"/>
    <n v="0"/>
    <s v="Y"/>
    <x v="1"/>
    <n v="22"/>
    <n v="4"/>
    <n v="3"/>
    <n v="80"/>
    <n v="1"/>
    <n v="4"/>
    <n v="4"/>
    <n v="3"/>
    <x v="11"/>
    <n v="2"/>
    <n v="1"/>
    <n v="2"/>
  </r>
  <r>
    <n v="38"/>
    <x v="1"/>
    <s v="Travel_Rarely"/>
    <n v="243"/>
    <x v="0"/>
    <x v="15"/>
    <n v="4"/>
    <s v="Marketing"/>
    <n v="1"/>
    <n v="709"/>
    <n v="4"/>
    <x v="0"/>
    <n v="46"/>
    <n v="2"/>
    <x v="0"/>
    <x v="0"/>
    <n v="4"/>
    <s v="Single"/>
    <n v="4028"/>
    <n v="7791"/>
    <n v="0"/>
    <s v="Y"/>
    <x v="1"/>
    <n v="20"/>
    <n v="4"/>
    <n v="1"/>
    <n v="80"/>
    <n v="0"/>
    <n v="8"/>
    <n v="2"/>
    <n v="3"/>
    <x v="5"/>
    <n v="7"/>
    <n v="0"/>
    <n v="5"/>
  </r>
  <r>
    <n v="29"/>
    <x v="1"/>
    <s v="Travel_Frequently"/>
    <n v="806"/>
    <x v="1"/>
    <x v="0"/>
    <n v="4"/>
    <s v="Life Sciences"/>
    <n v="1"/>
    <n v="710"/>
    <n v="2"/>
    <x v="1"/>
    <n v="76"/>
    <n v="1"/>
    <x v="1"/>
    <x v="1"/>
    <n v="4"/>
    <s v="Divorced"/>
    <n v="2720"/>
    <n v="18959"/>
    <n v="1"/>
    <s v="Y"/>
    <x v="1"/>
    <n v="18"/>
    <n v="3"/>
    <n v="4"/>
    <n v="80"/>
    <n v="1"/>
    <n v="10"/>
    <n v="5"/>
    <n v="3"/>
    <x v="1"/>
    <n v="7"/>
    <n v="2"/>
    <n v="8"/>
  </r>
  <r>
    <n v="48"/>
    <x v="1"/>
    <s v="Travel_Rarely"/>
    <n v="817"/>
    <x v="0"/>
    <x v="2"/>
    <n v="1"/>
    <s v="Marketing"/>
    <n v="1"/>
    <n v="712"/>
    <n v="2"/>
    <x v="1"/>
    <n v="56"/>
    <n v="4"/>
    <x v="0"/>
    <x v="0"/>
    <n v="2"/>
    <s v="Married"/>
    <n v="8120"/>
    <n v="18597"/>
    <n v="3"/>
    <s v="Y"/>
    <x v="1"/>
    <n v="12"/>
    <n v="3"/>
    <n v="4"/>
    <n v="80"/>
    <n v="0"/>
    <n v="12"/>
    <n v="3"/>
    <n v="3"/>
    <x v="4"/>
    <n v="2"/>
    <n v="2"/>
    <n v="2"/>
  </r>
  <r>
    <n v="27"/>
    <x v="1"/>
    <s v="Travel_Frequently"/>
    <n v="1410"/>
    <x v="0"/>
    <x v="3"/>
    <n v="1"/>
    <s v="Medical"/>
    <n v="1"/>
    <n v="714"/>
    <n v="4"/>
    <x v="0"/>
    <n v="71"/>
    <n v="4"/>
    <x v="0"/>
    <x v="0"/>
    <n v="4"/>
    <s v="Divorced"/>
    <n v="4647"/>
    <n v="16673"/>
    <n v="1"/>
    <s v="Y"/>
    <x v="0"/>
    <n v="20"/>
    <n v="4"/>
    <n v="2"/>
    <n v="80"/>
    <n v="2"/>
    <n v="6"/>
    <n v="3"/>
    <n v="3"/>
    <x v="0"/>
    <n v="5"/>
    <n v="0"/>
    <n v="4"/>
  </r>
  <r>
    <n v="37"/>
    <x v="1"/>
    <s v="Travel_Rarely"/>
    <n v="1225"/>
    <x v="1"/>
    <x v="17"/>
    <n v="2"/>
    <s v="Life Sciences"/>
    <n v="1"/>
    <n v="715"/>
    <n v="4"/>
    <x v="1"/>
    <n v="80"/>
    <n v="4"/>
    <x v="1"/>
    <x v="1"/>
    <n v="4"/>
    <s v="Single"/>
    <n v="4680"/>
    <n v="15232"/>
    <n v="3"/>
    <s v="Y"/>
    <x v="1"/>
    <n v="17"/>
    <n v="3"/>
    <n v="1"/>
    <n v="80"/>
    <n v="0"/>
    <n v="4"/>
    <n v="2"/>
    <n v="3"/>
    <x v="6"/>
    <n v="0"/>
    <n v="0"/>
    <n v="0"/>
  </r>
  <r>
    <n v="50"/>
    <x v="1"/>
    <s v="Travel_Rarely"/>
    <n v="1207"/>
    <x v="1"/>
    <x v="26"/>
    <n v="1"/>
    <s v="Medical"/>
    <n v="1"/>
    <n v="716"/>
    <n v="4"/>
    <x v="1"/>
    <n v="74"/>
    <n v="4"/>
    <x v="1"/>
    <x v="2"/>
    <n v="3"/>
    <s v="Married"/>
    <n v="3221"/>
    <n v="3297"/>
    <n v="1"/>
    <s v="Y"/>
    <x v="0"/>
    <n v="11"/>
    <n v="3"/>
    <n v="3"/>
    <n v="80"/>
    <n v="3"/>
    <n v="20"/>
    <n v="3"/>
    <n v="3"/>
    <x v="23"/>
    <n v="8"/>
    <n v="3"/>
    <n v="8"/>
  </r>
  <r>
    <n v="34"/>
    <x v="1"/>
    <s v="Travel_Rarely"/>
    <n v="1442"/>
    <x v="1"/>
    <x v="14"/>
    <n v="3"/>
    <s v="Medical"/>
    <n v="1"/>
    <n v="717"/>
    <n v="4"/>
    <x v="0"/>
    <n v="46"/>
    <n v="2"/>
    <x v="2"/>
    <x v="4"/>
    <n v="2"/>
    <s v="Single"/>
    <n v="8621"/>
    <n v="17654"/>
    <n v="1"/>
    <s v="Y"/>
    <x v="1"/>
    <n v="14"/>
    <n v="3"/>
    <n v="2"/>
    <n v="80"/>
    <n v="0"/>
    <n v="9"/>
    <n v="3"/>
    <n v="4"/>
    <x v="3"/>
    <n v="7"/>
    <n v="7"/>
    <n v="7"/>
  </r>
  <r>
    <n v="24"/>
    <x v="0"/>
    <s v="Travel_Rarely"/>
    <n v="693"/>
    <x v="0"/>
    <x v="3"/>
    <n v="2"/>
    <s v="Life Sciences"/>
    <n v="1"/>
    <n v="720"/>
    <n v="1"/>
    <x v="0"/>
    <n v="65"/>
    <n v="3"/>
    <x v="0"/>
    <x v="0"/>
    <n v="3"/>
    <s v="Single"/>
    <n v="4577"/>
    <n v="24785"/>
    <n v="9"/>
    <s v="Y"/>
    <x v="1"/>
    <n v="14"/>
    <n v="3"/>
    <n v="1"/>
    <n v="80"/>
    <n v="0"/>
    <n v="4"/>
    <n v="3"/>
    <n v="3"/>
    <x v="4"/>
    <n v="2"/>
    <n v="2"/>
    <n v="0"/>
  </r>
  <r>
    <n v="39"/>
    <x v="1"/>
    <s v="Travel_Rarely"/>
    <n v="408"/>
    <x v="1"/>
    <x v="2"/>
    <n v="4"/>
    <s v="Technical Degree"/>
    <n v="1"/>
    <n v="721"/>
    <n v="4"/>
    <x v="0"/>
    <n v="80"/>
    <n v="2"/>
    <x v="0"/>
    <x v="4"/>
    <n v="3"/>
    <s v="Single"/>
    <n v="4553"/>
    <n v="20978"/>
    <n v="1"/>
    <s v="Y"/>
    <x v="1"/>
    <n v="11"/>
    <n v="3"/>
    <n v="1"/>
    <n v="80"/>
    <n v="0"/>
    <n v="20"/>
    <n v="4"/>
    <n v="3"/>
    <x v="23"/>
    <n v="7"/>
    <n v="11"/>
    <n v="10"/>
  </r>
  <r>
    <n v="32"/>
    <x v="1"/>
    <s v="Travel_Rarely"/>
    <n v="929"/>
    <x v="0"/>
    <x v="17"/>
    <n v="3"/>
    <s v="Marketing"/>
    <n v="1"/>
    <n v="722"/>
    <n v="4"/>
    <x v="1"/>
    <n v="55"/>
    <n v="3"/>
    <x v="0"/>
    <x v="0"/>
    <n v="4"/>
    <s v="Single"/>
    <n v="5396"/>
    <n v="21703"/>
    <n v="1"/>
    <s v="Y"/>
    <x v="1"/>
    <n v="12"/>
    <n v="3"/>
    <n v="4"/>
    <n v="80"/>
    <n v="0"/>
    <n v="10"/>
    <n v="2"/>
    <n v="2"/>
    <x v="1"/>
    <n v="7"/>
    <n v="0"/>
    <n v="8"/>
  </r>
  <r>
    <n v="50"/>
    <x v="0"/>
    <s v="Travel_Frequently"/>
    <n v="562"/>
    <x v="0"/>
    <x v="1"/>
    <n v="2"/>
    <s v="Technical Degree"/>
    <n v="1"/>
    <n v="723"/>
    <n v="2"/>
    <x v="1"/>
    <n v="50"/>
    <n v="3"/>
    <x v="0"/>
    <x v="0"/>
    <n v="3"/>
    <s v="Married"/>
    <n v="6796"/>
    <n v="23452"/>
    <n v="3"/>
    <s v="Y"/>
    <x v="0"/>
    <n v="14"/>
    <n v="3"/>
    <n v="1"/>
    <n v="80"/>
    <n v="1"/>
    <n v="18"/>
    <n v="4"/>
    <n v="3"/>
    <x v="9"/>
    <n v="3"/>
    <n v="1"/>
    <n v="3"/>
  </r>
  <r>
    <n v="38"/>
    <x v="1"/>
    <s v="Travel_Rarely"/>
    <n v="827"/>
    <x v="1"/>
    <x v="0"/>
    <n v="4"/>
    <s v="Life Sciences"/>
    <n v="1"/>
    <n v="724"/>
    <n v="2"/>
    <x v="0"/>
    <n v="33"/>
    <n v="4"/>
    <x v="0"/>
    <x v="4"/>
    <n v="4"/>
    <s v="Single"/>
    <n v="7625"/>
    <n v="19383"/>
    <n v="0"/>
    <s v="Y"/>
    <x v="1"/>
    <n v="13"/>
    <n v="3"/>
    <n v="3"/>
    <n v="80"/>
    <n v="0"/>
    <n v="10"/>
    <n v="4"/>
    <n v="2"/>
    <x v="7"/>
    <n v="7"/>
    <n v="1"/>
    <n v="8"/>
  </r>
  <r>
    <n v="27"/>
    <x v="1"/>
    <s v="Travel_Rarely"/>
    <n v="608"/>
    <x v="1"/>
    <x v="0"/>
    <n v="2"/>
    <s v="Life Sciences"/>
    <n v="1"/>
    <n v="725"/>
    <n v="3"/>
    <x v="0"/>
    <n v="68"/>
    <n v="3"/>
    <x v="2"/>
    <x v="3"/>
    <n v="1"/>
    <s v="Married"/>
    <n v="7412"/>
    <n v="6009"/>
    <n v="1"/>
    <s v="Y"/>
    <x v="1"/>
    <n v="11"/>
    <n v="3"/>
    <n v="4"/>
    <n v="80"/>
    <n v="0"/>
    <n v="9"/>
    <n v="3"/>
    <n v="3"/>
    <x v="7"/>
    <n v="7"/>
    <n v="0"/>
    <n v="7"/>
  </r>
  <r>
    <n v="32"/>
    <x v="1"/>
    <s v="Travel_Rarely"/>
    <n v="1018"/>
    <x v="1"/>
    <x v="3"/>
    <n v="2"/>
    <s v="Life Sciences"/>
    <n v="1"/>
    <n v="727"/>
    <n v="3"/>
    <x v="0"/>
    <n v="39"/>
    <n v="3"/>
    <x v="2"/>
    <x v="7"/>
    <n v="4"/>
    <s v="Single"/>
    <n v="11159"/>
    <n v="19373"/>
    <n v="3"/>
    <s v="Y"/>
    <x v="1"/>
    <n v="15"/>
    <n v="3"/>
    <n v="4"/>
    <n v="80"/>
    <n v="0"/>
    <n v="10"/>
    <n v="6"/>
    <n v="3"/>
    <x v="5"/>
    <n v="7"/>
    <n v="7"/>
    <n v="7"/>
  </r>
  <r>
    <n v="47"/>
    <x v="1"/>
    <s v="Travel_Rarely"/>
    <n v="703"/>
    <x v="0"/>
    <x v="24"/>
    <n v="4"/>
    <s v="Marketing"/>
    <n v="1"/>
    <n v="728"/>
    <n v="4"/>
    <x v="1"/>
    <n v="42"/>
    <n v="3"/>
    <x v="0"/>
    <x v="0"/>
    <n v="1"/>
    <s v="Single"/>
    <n v="4960"/>
    <n v="11825"/>
    <n v="2"/>
    <s v="Y"/>
    <x v="1"/>
    <n v="12"/>
    <n v="3"/>
    <n v="4"/>
    <n v="80"/>
    <n v="0"/>
    <n v="20"/>
    <n v="2"/>
    <n v="3"/>
    <x v="5"/>
    <n v="7"/>
    <n v="1"/>
    <n v="7"/>
  </r>
  <r>
    <n v="40"/>
    <x v="1"/>
    <s v="Travel_Frequently"/>
    <n v="580"/>
    <x v="0"/>
    <x v="12"/>
    <n v="4"/>
    <s v="Life Sciences"/>
    <n v="1"/>
    <n v="729"/>
    <n v="4"/>
    <x v="1"/>
    <n v="48"/>
    <n v="2"/>
    <x v="2"/>
    <x v="0"/>
    <n v="1"/>
    <s v="Married"/>
    <n v="10475"/>
    <n v="23772"/>
    <n v="5"/>
    <s v="Y"/>
    <x v="0"/>
    <n v="21"/>
    <n v="4"/>
    <n v="3"/>
    <n v="80"/>
    <n v="1"/>
    <n v="20"/>
    <n v="2"/>
    <n v="3"/>
    <x v="29"/>
    <n v="13"/>
    <n v="1"/>
    <n v="12"/>
  </r>
  <r>
    <n v="53"/>
    <x v="1"/>
    <s v="Travel_Rarely"/>
    <n v="970"/>
    <x v="1"/>
    <x v="15"/>
    <n v="3"/>
    <s v="Life Sciences"/>
    <n v="1"/>
    <n v="730"/>
    <n v="3"/>
    <x v="1"/>
    <n v="59"/>
    <n v="4"/>
    <x v="3"/>
    <x v="7"/>
    <n v="3"/>
    <s v="Married"/>
    <n v="14814"/>
    <n v="13514"/>
    <n v="3"/>
    <s v="Y"/>
    <x v="1"/>
    <n v="19"/>
    <n v="3"/>
    <n v="3"/>
    <n v="80"/>
    <n v="0"/>
    <n v="32"/>
    <n v="3"/>
    <n v="3"/>
    <x v="8"/>
    <n v="1"/>
    <n v="1"/>
    <n v="3"/>
  </r>
  <r>
    <n v="41"/>
    <x v="1"/>
    <s v="Travel_Rarely"/>
    <n v="427"/>
    <x v="2"/>
    <x v="17"/>
    <n v="4"/>
    <s v="Human Resources"/>
    <n v="1"/>
    <n v="731"/>
    <n v="2"/>
    <x v="1"/>
    <n v="73"/>
    <n v="2"/>
    <x v="4"/>
    <x v="5"/>
    <n v="4"/>
    <s v="Divorced"/>
    <n v="19141"/>
    <n v="8861"/>
    <n v="3"/>
    <s v="Y"/>
    <x v="1"/>
    <n v="15"/>
    <n v="3"/>
    <n v="2"/>
    <n v="80"/>
    <n v="3"/>
    <n v="23"/>
    <n v="2"/>
    <n v="2"/>
    <x v="17"/>
    <n v="6"/>
    <n v="12"/>
    <n v="6"/>
  </r>
  <r>
    <n v="60"/>
    <x v="1"/>
    <s v="Travel_Rarely"/>
    <n v="1179"/>
    <x v="0"/>
    <x v="7"/>
    <n v="4"/>
    <s v="Marketing"/>
    <n v="1"/>
    <n v="732"/>
    <n v="1"/>
    <x v="1"/>
    <n v="84"/>
    <n v="3"/>
    <x v="0"/>
    <x v="0"/>
    <n v="1"/>
    <s v="Single"/>
    <n v="5405"/>
    <n v="11924"/>
    <n v="8"/>
    <s v="Y"/>
    <x v="1"/>
    <n v="14"/>
    <n v="3"/>
    <n v="4"/>
    <n v="80"/>
    <n v="0"/>
    <n v="10"/>
    <n v="1"/>
    <n v="3"/>
    <x v="4"/>
    <n v="2"/>
    <n v="2"/>
    <n v="2"/>
  </r>
  <r>
    <n v="27"/>
    <x v="1"/>
    <s v="Travel_Frequently"/>
    <n v="294"/>
    <x v="1"/>
    <x v="17"/>
    <n v="2"/>
    <s v="Life Sciences"/>
    <n v="1"/>
    <n v="733"/>
    <n v="4"/>
    <x v="1"/>
    <n v="32"/>
    <n v="3"/>
    <x v="2"/>
    <x v="3"/>
    <n v="1"/>
    <s v="Divorced"/>
    <n v="8793"/>
    <n v="4809"/>
    <n v="1"/>
    <s v="Y"/>
    <x v="1"/>
    <n v="21"/>
    <n v="4"/>
    <n v="3"/>
    <n v="80"/>
    <n v="2"/>
    <n v="9"/>
    <n v="4"/>
    <n v="2"/>
    <x v="7"/>
    <n v="7"/>
    <n v="1"/>
    <n v="7"/>
  </r>
  <r>
    <n v="41"/>
    <x v="1"/>
    <s v="Travel_Rarely"/>
    <n v="314"/>
    <x v="2"/>
    <x v="0"/>
    <n v="3"/>
    <s v="Human Resources"/>
    <n v="1"/>
    <n v="734"/>
    <n v="4"/>
    <x v="1"/>
    <n v="59"/>
    <n v="2"/>
    <x v="4"/>
    <x v="5"/>
    <n v="3"/>
    <s v="Married"/>
    <n v="19189"/>
    <n v="19562"/>
    <n v="1"/>
    <s v="Y"/>
    <x v="1"/>
    <n v="12"/>
    <n v="3"/>
    <n v="2"/>
    <n v="80"/>
    <n v="1"/>
    <n v="22"/>
    <n v="3"/>
    <n v="3"/>
    <x v="14"/>
    <n v="7"/>
    <n v="2"/>
    <n v="10"/>
  </r>
  <r>
    <n v="50"/>
    <x v="1"/>
    <s v="Travel_Rarely"/>
    <n v="316"/>
    <x v="0"/>
    <x v="1"/>
    <n v="4"/>
    <s v="Marketing"/>
    <n v="1"/>
    <n v="738"/>
    <n v="4"/>
    <x v="1"/>
    <n v="54"/>
    <n v="3"/>
    <x v="1"/>
    <x v="6"/>
    <n v="2"/>
    <s v="Married"/>
    <n v="3875"/>
    <n v="9983"/>
    <n v="7"/>
    <s v="Y"/>
    <x v="1"/>
    <n v="15"/>
    <n v="3"/>
    <n v="4"/>
    <n v="80"/>
    <n v="1"/>
    <n v="4"/>
    <n v="2"/>
    <n v="3"/>
    <x v="4"/>
    <n v="2"/>
    <n v="2"/>
    <n v="2"/>
  </r>
  <r>
    <n v="28"/>
    <x v="0"/>
    <s v="Travel_Rarely"/>
    <n v="654"/>
    <x v="1"/>
    <x v="0"/>
    <n v="2"/>
    <s v="Life Sciences"/>
    <n v="1"/>
    <n v="741"/>
    <n v="1"/>
    <x v="0"/>
    <n v="67"/>
    <n v="1"/>
    <x v="1"/>
    <x v="1"/>
    <n v="2"/>
    <s v="Single"/>
    <n v="2216"/>
    <n v="3872"/>
    <n v="7"/>
    <s v="Y"/>
    <x v="0"/>
    <n v="13"/>
    <n v="3"/>
    <n v="4"/>
    <n v="80"/>
    <n v="0"/>
    <n v="10"/>
    <n v="4"/>
    <n v="3"/>
    <x v="5"/>
    <n v="7"/>
    <n v="3"/>
    <n v="7"/>
  </r>
  <r>
    <n v="36"/>
    <x v="1"/>
    <s v="Non-Travel"/>
    <n v="427"/>
    <x v="1"/>
    <x v="1"/>
    <n v="3"/>
    <s v="Life Sciences"/>
    <n v="1"/>
    <n v="742"/>
    <n v="1"/>
    <x v="0"/>
    <n v="63"/>
    <n v="4"/>
    <x v="2"/>
    <x v="7"/>
    <n v="1"/>
    <s v="Married"/>
    <n v="11713"/>
    <n v="20335"/>
    <n v="9"/>
    <s v="Y"/>
    <x v="1"/>
    <n v="14"/>
    <n v="3"/>
    <n v="1"/>
    <n v="80"/>
    <n v="1"/>
    <n v="10"/>
    <n v="2"/>
    <n v="3"/>
    <x v="3"/>
    <n v="7"/>
    <n v="0"/>
    <n v="5"/>
  </r>
  <r>
    <n v="38"/>
    <x v="1"/>
    <s v="Travel_Rarely"/>
    <n v="168"/>
    <x v="1"/>
    <x v="0"/>
    <n v="3"/>
    <s v="Life Sciences"/>
    <n v="1"/>
    <n v="743"/>
    <n v="3"/>
    <x v="0"/>
    <n v="81"/>
    <n v="3"/>
    <x v="2"/>
    <x v="3"/>
    <n v="3"/>
    <s v="Single"/>
    <n v="7861"/>
    <n v="15397"/>
    <n v="4"/>
    <s v="Y"/>
    <x v="0"/>
    <n v="14"/>
    <n v="3"/>
    <n v="4"/>
    <n v="80"/>
    <n v="0"/>
    <n v="10"/>
    <n v="4"/>
    <n v="4"/>
    <x v="6"/>
    <n v="0"/>
    <n v="0"/>
    <n v="0"/>
  </r>
  <r>
    <n v="44"/>
    <x v="1"/>
    <s v="Non-Travel"/>
    <n v="381"/>
    <x v="1"/>
    <x v="4"/>
    <n v="3"/>
    <s v="Medical"/>
    <n v="1"/>
    <n v="744"/>
    <n v="1"/>
    <x v="1"/>
    <n v="49"/>
    <n v="1"/>
    <x v="1"/>
    <x v="2"/>
    <n v="3"/>
    <s v="Single"/>
    <n v="3708"/>
    <n v="2104"/>
    <n v="2"/>
    <s v="Y"/>
    <x v="1"/>
    <n v="14"/>
    <n v="3"/>
    <n v="3"/>
    <n v="80"/>
    <n v="0"/>
    <n v="9"/>
    <n v="5"/>
    <n v="3"/>
    <x v="8"/>
    <n v="2"/>
    <n v="1"/>
    <n v="4"/>
  </r>
  <r>
    <n v="47"/>
    <x v="1"/>
    <s v="Travel_Frequently"/>
    <n v="217"/>
    <x v="0"/>
    <x v="3"/>
    <n v="3"/>
    <s v="Medical"/>
    <n v="1"/>
    <n v="746"/>
    <n v="4"/>
    <x v="0"/>
    <n v="49"/>
    <n v="3"/>
    <x v="3"/>
    <x v="0"/>
    <n v="3"/>
    <s v="Divorced"/>
    <n v="13770"/>
    <n v="10225"/>
    <n v="9"/>
    <s v="Y"/>
    <x v="0"/>
    <n v="12"/>
    <n v="3"/>
    <n v="4"/>
    <n v="80"/>
    <n v="2"/>
    <n v="28"/>
    <n v="2"/>
    <n v="2"/>
    <x v="14"/>
    <n v="2"/>
    <n v="11"/>
    <n v="13"/>
  </r>
  <r>
    <n v="30"/>
    <x v="1"/>
    <s v="Travel_Rarely"/>
    <n v="501"/>
    <x v="0"/>
    <x v="6"/>
    <n v="5"/>
    <s v="Marketing"/>
    <n v="1"/>
    <n v="747"/>
    <n v="3"/>
    <x v="1"/>
    <n v="99"/>
    <n v="3"/>
    <x v="0"/>
    <x v="0"/>
    <n v="4"/>
    <s v="Divorced"/>
    <n v="5304"/>
    <n v="25275"/>
    <n v="7"/>
    <s v="Y"/>
    <x v="1"/>
    <n v="23"/>
    <n v="4"/>
    <n v="4"/>
    <n v="80"/>
    <n v="1"/>
    <n v="10"/>
    <n v="2"/>
    <n v="2"/>
    <x v="3"/>
    <n v="7"/>
    <n v="7"/>
    <n v="7"/>
  </r>
  <r>
    <n v="29"/>
    <x v="1"/>
    <s v="Travel_Rarely"/>
    <n v="1396"/>
    <x v="0"/>
    <x v="17"/>
    <n v="3"/>
    <s v="Life Sciences"/>
    <n v="1"/>
    <n v="749"/>
    <n v="3"/>
    <x v="1"/>
    <n v="99"/>
    <n v="3"/>
    <x v="1"/>
    <x v="6"/>
    <n v="3"/>
    <s v="Single"/>
    <n v="2642"/>
    <n v="2755"/>
    <n v="1"/>
    <s v="Y"/>
    <x v="1"/>
    <n v="11"/>
    <n v="3"/>
    <n v="3"/>
    <n v="80"/>
    <n v="0"/>
    <n v="1"/>
    <n v="6"/>
    <n v="3"/>
    <x v="6"/>
    <n v="0"/>
    <n v="0"/>
    <n v="0"/>
  </r>
  <r>
    <n v="42"/>
    <x v="0"/>
    <s v="Travel_Frequently"/>
    <n v="933"/>
    <x v="1"/>
    <x v="10"/>
    <n v="3"/>
    <s v="Medical"/>
    <n v="1"/>
    <n v="752"/>
    <n v="3"/>
    <x v="1"/>
    <n v="57"/>
    <n v="4"/>
    <x v="1"/>
    <x v="1"/>
    <n v="3"/>
    <s v="Divorced"/>
    <n v="2759"/>
    <n v="20366"/>
    <n v="6"/>
    <s v="Y"/>
    <x v="0"/>
    <n v="12"/>
    <n v="3"/>
    <n v="4"/>
    <n v="80"/>
    <n v="0"/>
    <n v="7"/>
    <n v="2"/>
    <n v="3"/>
    <x v="4"/>
    <n v="2"/>
    <n v="2"/>
    <n v="2"/>
  </r>
  <r>
    <n v="43"/>
    <x v="1"/>
    <s v="Travel_Frequently"/>
    <n v="775"/>
    <x v="0"/>
    <x v="8"/>
    <n v="3"/>
    <s v="Life Sciences"/>
    <n v="1"/>
    <n v="754"/>
    <n v="4"/>
    <x v="1"/>
    <n v="47"/>
    <n v="2"/>
    <x v="0"/>
    <x v="0"/>
    <n v="4"/>
    <s v="Married"/>
    <n v="6804"/>
    <n v="23683"/>
    <n v="3"/>
    <s v="Y"/>
    <x v="1"/>
    <n v="18"/>
    <n v="3"/>
    <n v="3"/>
    <n v="80"/>
    <n v="1"/>
    <n v="7"/>
    <n v="5"/>
    <n v="3"/>
    <x v="4"/>
    <n v="2"/>
    <n v="2"/>
    <n v="2"/>
  </r>
  <r>
    <n v="34"/>
    <x v="1"/>
    <s v="Travel_Rarely"/>
    <n v="970"/>
    <x v="1"/>
    <x v="1"/>
    <n v="2"/>
    <s v="Medical"/>
    <n v="1"/>
    <n v="757"/>
    <n v="2"/>
    <x v="0"/>
    <n v="96"/>
    <n v="3"/>
    <x v="0"/>
    <x v="4"/>
    <n v="3"/>
    <s v="Single"/>
    <n v="6142"/>
    <n v="7360"/>
    <n v="3"/>
    <s v="Y"/>
    <x v="1"/>
    <n v="11"/>
    <n v="3"/>
    <n v="4"/>
    <n v="80"/>
    <n v="0"/>
    <n v="10"/>
    <n v="2"/>
    <n v="3"/>
    <x v="8"/>
    <n v="1"/>
    <n v="4"/>
    <n v="3"/>
  </r>
  <r>
    <n v="23"/>
    <x v="1"/>
    <s v="Travel_Rarely"/>
    <n v="650"/>
    <x v="1"/>
    <x v="14"/>
    <n v="1"/>
    <s v="Medical"/>
    <n v="1"/>
    <n v="758"/>
    <n v="2"/>
    <x v="1"/>
    <n v="37"/>
    <n v="3"/>
    <x v="1"/>
    <x v="2"/>
    <n v="1"/>
    <s v="Married"/>
    <n v="2500"/>
    <n v="4344"/>
    <n v="1"/>
    <s v="Y"/>
    <x v="1"/>
    <n v="14"/>
    <n v="3"/>
    <n v="4"/>
    <n v="80"/>
    <n v="1"/>
    <n v="5"/>
    <n v="2"/>
    <n v="4"/>
    <x v="9"/>
    <n v="3"/>
    <n v="0"/>
    <n v="2"/>
  </r>
  <r>
    <n v="39"/>
    <x v="1"/>
    <s v="Travel_Rarely"/>
    <n v="141"/>
    <x v="2"/>
    <x v="3"/>
    <n v="3"/>
    <s v="Human Resources"/>
    <n v="1"/>
    <n v="760"/>
    <n v="3"/>
    <x v="0"/>
    <n v="44"/>
    <n v="4"/>
    <x v="0"/>
    <x v="8"/>
    <n v="2"/>
    <s v="Married"/>
    <n v="6389"/>
    <n v="18767"/>
    <n v="9"/>
    <s v="Y"/>
    <x v="1"/>
    <n v="15"/>
    <n v="3"/>
    <n v="3"/>
    <n v="80"/>
    <n v="1"/>
    <n v="12"/>
    <n v="3"/>
    <n v="1"/>
    <x v="3"/>
    <n v="3"/>
    <n v="3"/>
    <n v="6"/>
  </r>
  <r>
    <n v="56"/>
    <x v="1"/>
    <s v="Travel_Rarely"/>
    <n v="832"/>
    <x v="1"/>
    <x v="14"/>
    <n v="3"/>
    <s v="Medical"/>
    <n v="1"/>
    <n v="762"/>
    <n v="3"/>
    <x v="1"/>
    <n v="81"/>
    <n v="3"/>
    <x v="3"/>
    <x v="4"/>
    <n v="4"/>
    <s v="Married"/>
    <n v="11103"/>
    <n v="20420"/>
    <n v="7"/>
    <s v="Y"/>
    <x v="1"/>
    <n v="11"/>
    <n v="3"/>
    <n v="3"/>
    <n v="80"/>
    <n v="0"/>
    <n v="30"/>
    <n v="1"/>
    <n v="2"/>
    <x v="1"/>
    <n v="7"/>
    <n v="1"/>
    <n v="1"/>
  </r>
  <r>
    <n v="40"/>
    <x v="1"/>
    <s v="Travel_Rarely"/>
    <n v="804"/>
    <x v="1"/>
    <x v="2"/>
    <n v="1"/>
    <s v="Medical"/>
    <n v="1"/>
    <n v="763"/>
    <n v="4"/>
    <x v="0"/>
    <n v="86"/>
    <n v="2"/>
    <x v="1"/>
    <x v="1"/>
    <n v="4"/>
    <s v="Single"/>
    <n v="2342"/>
    <n v="22929"/>
    <n v="0"/>
    <s v="Y"/>
    <x v="0"/>
    <n v="20"/>
    <n v="4"/>
    <n v="4"/>
    <n v="80"/>
    <n v="0"/>
    <n v="5"/>
    <n v="2"/>
    <n v="2"/>
    <x v="9"/>
    <n v="2"/>
    <n v="2"/>
    <n v="3"/>
  </r>
  <r>
    <n v="27"/>
    <x v="1"/>
    <s v="Travel_Rarely"/>
    <n v="975"/>
    <x v="1"/>
    <x v="15"/>
    <n v="3"/>
    <s v="Medical"/>
    <n v="1"/>
    <n v="764"/>
    <n v="4"/>
    <x v="0"/>
    <n v="55"/>
    <n v="2"/>
    <x v="0"/>
    <x v="4"/>
    <n v="1"/>
    <s v="Single"/>
    <n v="6811"/>
    <n v="23398"/>
    <n v="8"/>
    <s v="Y"/>
    <x v="1"/>
    <n v="19"/>
    <n v="3"/>
    <n v="1"/>
    <n v="80"/>
    <n v="0"/>
    <n v="9"/>
    <n v="2"/>
    <n v="1"/>
    <x v="5"/>
    <n v="6"/>
    <n v="0"/>
    <n v="7"/>
  </r>
  <r>
    <n v="29"/>
    <x v="1"/>
    <s v="Travel_Rarely"/>
    <n v="1090"/>
    <x v="0"/>
    <x v="17"/>
    <n v="3"/>
    <s v="Marketing"/>
    <n v="1"/>
    <n v="766"/>
    <n v="4"/>
    <x v="1"/>
    <n v="83"/>
    <n v="3"/>
    <x v="1"/>
    <x v="6"/>
    <n v="2"/>
    <s v="Divorced"/>
    <n v="2297"/>
    <n v="17967"/>
    <n v="1"/>
    <s v="Y"/>
    <x v="1"/>
    <n v="14"/>
    <n v="3"/>
    <n v="4"/>
    <n v="80"/>
    <n v="2"/>
    <n v="2"/>
    <n v="2"/>
    <n v="3"/>
    <x v="4"/>
    <n v="2"/>
    <n v="2"/>
    <n v="2"/>
  </r>
  <r>
    <n v="53"/>
    <x v="1"/>
    <s v="Travel_Rarely"/>
    <n v="346"/>
    <x v="1"/>
    <x v="16"/>
    <n v="3"/>
    <s v="Life Sciences"/>
    <n v="1"/>
    <n v="769"/>
    <n v="4"/>
    <x v="1"/>
    <n v="86"/>
    <n v="3"/>
    <x v="0"/>
    <x v="2"/>
    <n v="4"/>
    <s v="Single"/>
    <n v="2450"/>
    <n v="10919"/>
    <n v="2"/>
    <s v="Y"/>
    <x v="1"/>
    <n v="17"/>
    <n v="3"/>
    <n v="4"/>
    <n v="80"/>
    <n v="0"/>
    <n v="19"/>
    <n v="4"/>
    <n v="3"/>
    <x v="4"/>
    <n v="2"/>
    <n v="2"/>
    <n v="2"/>
  </r>
  <r>
    <n v="35"/>
    <x v="1"/>
    <s v="Non-Travel"/>
    <n v="1225"/>
    <x v="1"/>
    <x v="2"/>
    <n v="4"/>
    <s v="Life Sciences"/>
    <n v="1"/>
    <n v="771"/>
    <n v="4"/>
    <x v="0"/>
    <n v="61"/>
    <n v="3"/>
    <x v="0"/>
    <x v="4"/>
    <n v="1"/>
    <s v="Divorced"/>
    <n v="5093"/>
    <n v="4761"/>
    <n v="2"/>
    <s v="Y"/>
    <x v="1"/>
    <n v="11"/>
    <n v="3"/>
    <n v="1"/>
    <n v="80"/>
    <n v="1"/>
    <n v="16"/>
    <n v="2"/>
    <n v="4"/>
    <x v="6"/>
    <n v="0"/>
    <n v="0"/>
    <n v="0"/>
  </r>
  <r>
    <n v="32"/>
    <x v="1"/>
    <s v="Travel_Frequently"/>
    <n v="430"/>
    <x v="1"/>
    <x v="4"/>
    <n v="4"/>
    <s v="Life Sciences"/>
    <n v="1"/>
    <n v="772"/>
    <n v="1"/>
    <x v="1"/>
    <n v="80"/>
    <n v="3"/>
    <x v="0"/>
    <x v="2"/>
    <n v="4"/>
    <s v="Married"/>
    <n v="5309"/>
    <n v="21146"/>
    <n v="1"/>
    <s v="Y"/>
    <x v="1"/>
    <n v="15"/>
    <n v="3"/>
    <n v="4"/>
    <n v="80"/>
    <n v="2"/>
    <n v="10"/>
    <n v="2"/>
    <n v="3"/>
    <x v="1"/>
    <n v="8"/>
    <n v="4"/>
    <n v="7"/>
  </r>
  <r>
    <n v="38"/>
    <x v="1"/>
    <s v="Travel_Rarely"/>
    <n v="268"/>
    <x v="1"/>
    <x v="2"/>
    <n v="5"/>
    <s v="Medical"/>
    <n v="1"/>
    <n v="773"/>
    <n v="4"/>
    <x v="1"/>
    <n v="92"/>
    <n v="3"/>
    <x v="1"/>
    <x v="1"/>
    <n v="3"/>
    <s v="Married"/>
    <n v="3057"/>
    <n v="20471"/>
    <n v="6"/>
    <s v="Y"/>
    <x v="0"/>
    <n v="13"/>
    <n v="3"/>
    <n v="2"/>
    <n v="80"/>
    <n v="1"/>
    <n v="6"/>
    <n v="0"/>
    <n v="1"/>
    <x v="6"/>
    <n v="0"/>
    <n v="0"/>
    <n v="1"/>
  </r>
  <r>
    <n v="34"/>
    <x v="1"/>
    <s v="Travel_Rarely"/>
    <n v="167"/>
    <x v="1"/>
    <x v="1"/>
    <n v="5"/>
    <s v="Life Sciences"/>
    <n v="1"/>
    <n v="775"/>
    <n v="2"/>
    <x v="0"/>
    <n v="32"/>
    <n v="3"/>
    <x v="0"/>
    <x v="3"/>
    <n v="1"/>
    <s v="Divorced"/>
    <n v="5121"/>
    <n v="4187"/>
    <n v="3"/>
    <s v="Y"/>
    <x v="1"/>
    <n v="14"/>
    <n v="3"/>
    <n v="3"/>
    <n v="80"/>
    <n v="1"/>
    <n v="7"/>
    <n v="3"/>
    <n v="3"/>
    <x v="2"/>
    <n v="0"/>
    <n v="0"/>
    <n v="0"/>
  </r>
  <r>
    <n v="52"/>
    <x v="1"/>
    <s v="Travel_Rarely"/>
    <n v="621"/>
    <x v="0"/>
    <x v="3"/>
    <n v="4"/>
    <s v="Marketing"/>
    <n v="1"/>
    <n v="776"/>
    <n v="3"/>
    <x v="1"/>
    <n v="31"/>
    <n v="2"/>
    <x v="3"/>
    <x v="5"/>
    <n v="1"/>
    <s v="Married"/>
    <n v="16856"/>
    <n v="10084"/>
    <n v="1"/>
    <s v="Y"/>
    <x v="1"/>
    <n v="11"/>
    <n v="3"/>
    <n v="1"/>
    <n v="80"/>
    <n v="0"/>
    <n v="34"/>
    <n v="3"/>
    <n v="4"/>
    <x v="33"/>
    <n v="6"/>
    <n v="1"/>
    <n v="16"/>
  </r>
  <r>
    <n v="33"/>
    <x v="0"/>
    <s v="Travel_Rarely"/>
    <n v="527"/>
    <x v="1"/>
    <x v="0"/>
    <n v="4"/>
    <s v="Other"/>
    <n v="1"/>
    <n v="780"/>
    <n v="4"/>
    <x v="1"/>
    <n v="63"/>
    <n v="3"/>
    <x v="1"/>
    <x v="1"/>
    <n v="4"/>
    <s v="Single"/>
    <n v="2686"/>
    <n v="5207"/>
    <n v="1"/>
    <s v="Y"/>
    <x v="0"/>
    <n v="13"/>
    <n v="3"/>
    <n v="3"/>
    <n v="80"/>
    <n v="0"/>
    <n v="10"/>
    <n v="2"/>
    <n v="2"/>
    <x v="1"/>
    <n v="9"/>
    <n v="7"/>
    <n v="8"/>
  </r>
  <r>
    <n v="25"/>
    <x v="1"/>
    <s v="Travel_Rarely"/>
    <n v="883"/>
    <x v="0"/>
    <x v="9"/>
    <n v="1"/>
    <s v="Medical"/>
    <n v="1"/>
    <n v="781"/>
    <n v="3"/>
    <x v="0"/>
    <n v="32"/>
    <n v="3"/>
    <x v="0"/>
    <x v="0"/>
    <n v="4"/>
    <s v="Single"/>
    <n v="6180"/>
    <n v="22807"/>
    <n v="1"/>
    <s v="Y"/>
    <x v="1"/>
    <n v="23"/>
    <n v="4"/>
    <n v="2"/>
    <n v="80"/>
    <n v="0"/>
    <n v="6"/>
    <n v="5"/>
    <n v="2"/>
    <x v="0"/>
    <n v="5"/>
    <n v="1"/>
    <n v="4"/>
  </r>
  <r>
    <n v="45"/>
    <x v="1"/>
    <s v="Travel_Rarely"/>
    <n v="954"/>
    <x v="0"/>
    <x v="2"/>
    <n v="2"/>
    <s v="Technical Degree"/>
    <n v="1"/>
    <n v="783"/>
    <n v="2"/>
    <x v="1"/>
    <n v="46"/>
    <n v="1"/>
    <x v="0"/>
    <x v="6"/>
    <n v="3"/>
    <s v="Single"/>
    <n v="6632"/>
    <n v="12388"/>
    <n v="0"/>
    <s v="Y"/>
    <x v="1"/>
    <n v="13"/>
    <n v="3"/>
    <n v="1"/>
    <n v="80"/>
    <n v="0"/>
    <n v="9"/>
    <n v="3"/>
    <n v="3"/>
    <x v="3"/>
    <n v="7"/>
    <n v="3"/>
    <n v="1"/>
  </r>
  <r>
    <n v="23"/>
    <x v="1"/>
    <s v="Travel_Rarely"/>
    <n v="310"/>
    <x v="1"/>
    <x v="17"/>
    <n v="1"/>
    <s v="Medical"/>
    <n v="1"/>
    <n v="784"/>
    <n v="1"/>
    <x v="1"/>
    <n v="79"/>
    <n v="4"/>
    <x v="1"/>
    <x v="1"/>
    <n v="3"/>
    <s v="Single"/>
    <n v="3505"/>
    <n v="19630"/>
    <n v="1"/>
    <s v="Y"/>
    <x v="1"/>
    <n v="18"/>
    <n v="3"/>
    <n v="4"/>
    <n v="80"/>
    <n v="0"/>
    <n v="2"/>
    <n v="3"/>
    <n v="3"/>
    <x v="4"/>
    <n v="2"/>
    <n v="0"/>
    <n v="2"/>
  </r>
  <r>
    <n v="47"/>
    <x v="0"/>
    <s v="Travel_Frequently"/>
    <n v="719"/>
    <x v="0"/>
    <x v="6"/>
    <n v="2"/>
    <s v="Life Sciences"/>
    <n v="1"/>
    <n v="785"/>
    <n v="2"/>
    <x v="0"/>
    <n v="77"/>
    <n v="4"/>
    <x v="0"/>
    <x v="0"/>
    <n v="3"/>
    <s v="Single"/>
    <n v="6397"/>
    <n v="10339"/>
    <n v="4"/>
    <s v="Y"/>
    <x v="0"/>
    <n v="12"/>
    <n v="3"/>
    <n v="4"/>
    <n v="80"/>
    <n v="0"/>
    <n v="8"/>
    <n v="2"/>
    <n v="3"/>
    <x v="8"/>
    <n v="4"/>
    <n v="1"/>
    <n v="3"/>
  </r>
  <r>
    <n v="34"/>
    <x v="1"/>
    <s v="Travel_Rarely"/>
    <n v="304"/>
    <x v="0"/>
    <x v="2"/>
    <n v="3"/>
    <s v="Other"/>
    <n v="1"/>
    <n v="786"/>
    <n v="4"/>
    <x v="1"/>
    <n v="60"/>
    <n v="3"/>
    <x v="0"/>
    <x v="0"/>
    <n v="4"/>
    <s v="Single"/>
    <n v="6274"/>
    <n v="18686"/>
    <n v="1"/>
    <s v="Y"/>
    <x v="1"/>
    <n v="22"/>
    <n v="4"/>
    <n v="3"/>
    <n v="80"/>
    <n v="0"/>
    <n v="6"/>
    <n v="5"/>
    <n v="3"/>
    <x v="0"/>
    <n v="5"/>
    <n v="1"/>
    <n v="4"/>
  </r>
  <r>
    <n v="55"/>
    <x v="0"/>
    <s v="Travel_Rarely"/>
    <n v="725"/>
    <x v="1"/>
    <x v="2"/>
    <n v="3"/>
    <s v="Medical"/>
    <n v="1"/>
    <n v="787"/>
    <n v="4"/>
    <x v="1"/>
    <n v="78"/>
    <n v="3"/>
    <x v="4"/>
    <x v="5"/>
    <n v="1"/>
    <s v="Married"/>
    <n v="19859"/>
    <n v="21199"/>
    <n v="5"/>
    <s v="Y"/>
    <x v="0"/>
    <n v="13"/>
    <n v="3"/>
    <n v="4"/>
    <n v="80"/>
    <n v="1"/>
    <n v="24"/>
    <n v="2"/>
    <n v="3"/>
    <x v="8"/>
    <n v="2"/>
    <n v="1"/>
    <n v="4"/>
  </r>
  <r>
    <n v="36"/>
    <x v="1"/>
    <s v="Non-Travel"/>
    <n v="1434"/>
    <x v="0"/>
    <x v="1"/>
    <n v="4"/>
    <s v="Life Sciences"/>
    <n v="1"/>
    <n v="789"/>
    <n v="1"/>
    <x v="1"/>
    <n v="76"/>
    <n v="2"/>
    <x v="2"/>
    <x v="0"/>
    <n v="1"/>
    <s v="Single"/>
    <n v="7587"/>
    <n v="14229"/>
    <n v="1"/>
    <s v="Y"/>
    <x v="1"/>
    <n v="15"/>
    <n v="3"/>
    <n v="2"/>
    <n v="80"/>
    <n v="0"/>
    <n v="10"/>
    <n v="1"/>
    <n v="3"/>
    <x v="1"/>
    <n v="7"/>
    <n v="0"/>
    <n v="9"/>
  </r>
  <r>
    <n v="52"/>
    <x v="1"/>
    <s v="Non-Travel"/>
    <n v="715"/>
    <x v="1"/>
    <x v="10"/>
    <n v="4"/>
    <s v="Medical"/>
    <n v="1"/>
    <n v="791"/>
    <n v="4"/>
    <x v="1"/>
    <n v="41"/>
    <n v="3"/>
    <x v="1"/>
    <x v="1"/>
    <n v="4"/>
    <s v="Married"/>
    <n v="4258"/>
    <n v="26589"/>
    <n v="0"/>
    <s v="Y"/>
    <x v="1"/>
    <n v="18"/>
    <n v="3"/>
    <n v="1"/>
    <n v="80"/>
    <n v="1"/>
    <n v="5"/>
    <n v="3"/>
    <n v="3"/>
    <x v="9"/>
    <n v="3"/>
    <n v="1"/>
    <n v="2"/>
  </r>
  <r>
    <n v="26"/>
    <x v="1"/>
    <s v="Travel_Frequently"/>
    <n v="575"/>
    <x v="1"/>
    <x v="0"/>
    <n v="2"/>
    <s v="Life Sciences"/>
    <n v="1"/>
    <n v="792"/>
    <n v="1"/>
    <x v="0"/>
    <n v="71"/>
    <n v="1"/>
    <x v="1"/>
    <x v="2"/>
    <n v="4"/>
    <s v="Divorced"/>
    <n v="4364"/>
    <n v="5288"/>
    <n v="3"/>
    <s v="Y"/>
    <x v="1"/>
    <n v="14"/>
    <n v="3"/>
    <n v="1"/>
    <n v="80"/>
    <n v="1"/>
    <n v="5"/>
    <n v="2"/>
    <n v="3"/>
    <x v="4"/>
    <n v="2"/>
    <n v="2"/>
    <n v="0"/>
  </r>
  <r>
    <n v="29"/>
    <x v="1"/>
    <s v="Travel_Rarely"/>
    <n v="657"/>
    <x v="1"/>
    <x v="6"/>
    <n v="3"/>
    <s v="Medical"/>
    <n v="1"/>
    <n v="793"/>
    <n v="2"/>
    <x v="0"/>
    <n v="66"/>
    <n v="3"/>
    <x v="0"/>
    <x v="4"/>
    <n v="3"/>
    <s v="Married"/>
    <n v="4335"/>
    <n v="25549"/>
    <n v="4"/>
    <s v="Y"/>
    <x v="1"/>
    <n v="12"/>
    <n v="3"/>
    <n v="1"/>
    <n v="80"/>
    <n v="1"/>
    <n v="11"/>
    <n v="3"/>
    <n v="2"/>
    <x v="3"/>
    <n v="7"/>
    <n v="1"/>
    <n v="1"/>
  </r>
  <r>
    <n v="26"/>
    <x v="0"/>
    <s v="Travel_Rarely"/>
    <n v="1146"/>
    <x v="0"/>
    <x v="1"/>
    <n v="3"/>
    <s v="Technical Degree"/>
    <n v="1"/>
    <n v="796"/>
    <n v="4"/>
    <x v="1"/>
    <n v="38"/>
    <n v="2"/>
    <x v="0"/>
    <x v="0"/>
    <n v="1"/>
    <s v="Single"/>
    <n v="5326"/>
    <n v="3064"/>
    <n v="6"/>
    <s v="Y"/>
    <x v="1"/>
    <n v="17"/>
    <n v="3"/>
    <n v="3"/>
    <n v="80"/>
    <n v="0"/>
    <n v="6"/>
    <n v="2"/>
    <n v="2"/>
    <x v="9"/>
    <n v="3"/>
    <n v="1"/>
    <n v="2"/>
  </r>
  <r>
    <n v="34"/>
    <x v="1"/>
    <s v="Travel_Rarely"/>
    <n v="182"/>
    <x v="1"/>
    <x v="0"/>
    <n v="4"/>
    <s v="Life Sciences"/>
    <n v="1"/>
    <n v="797"/>
    <n v="2"/>
    <x v="0"/>
    <n v="72"/>
    <n v="4"/>
    <x v="1"/>
    <x v="1"/>
    <n v="4"/>
    <s v="Single"/>
    <n v="3280"/>
    <n v="13551"/>
    <n v="2"/>
    <s v="Y"/>
    <x v="1"/>
    <n v="16"/>
    <n v="3"/>
    <n v="3"/>
    <n v="80"/>
    <n v="0"/>
    <n v="10"/>
    <n v="2"/>
    <n v="3"/>
    <x v="9"/>
    <n v="2"/>
    <n v="1"/>
    <n v="3"/>
  </r>
  <r>
    <n v="54"/>
    <x v="1"/>
    <s v="Travel_Rarely"/>
    <n v="376"/>
    <x v="1"/>
    <x v="10"/>
    <n v="4"/>
    <s v="Medical"/>
    <n v="1"/>
    <n v="799"/>
    <n v="4"/>
    <x v="0"/>
    <n v="95"/>
    <n v="3"/>
    <x v="0"/>
    <x v="3"/>
    <n v="1"/>
    <s v="Divorced"/>
    <n v="5485"/>
    <n v="22670"/>
    <n v="9"/>
    <s v="Y"/>
    <x v="0"/>
    <n v="11"/>
    <n v="3"/>
    <n v="2"/>
    <n v="80"/>
    <n v="2"/>
    <n v="9"/>
    <n v="4"/>
    <n v="3"/>
    <x v="8"/>
    <n v="3"/>
    <n v="1"/>
    <n v="4"/>
  </r>
  <r>
    <n v="27"/>
    <x v="1"/>
    <s v="Travel_Frequently"/>
    <n v="829"/>
    <x v="0"/>
    <x v="1"/>
    <n v="1"/>
    <s v="Marketing"/>
    <n v="1"/>
    <n v="800"/>
    <n v="3"/>
    <x v="1"/>
    <n v="84"/>
    <n v="3"/>
    <x v="0"/>
    <x v="0"/>
    <n v="4"/>
    <s v="Married"/>
    <n v="4342"/>
    <n v="24008"/>
    <n v="0"/>
    <s v="Y"/>
    <x v="1"/>
    <n v="19"/>
    <n v="3"/>
    <n v="2"/>
    <n v="80"/>
    <n v="1"/>
    <n v="5"/>
    <n v="3"/>
    <n v="3"/>
    <x v="9"/>
    <n v="2"/>
    <n v="1"/>
    <n v="1"/>
  </r>
  <r>
    <n v="37"/>
    <x v="1"/>
    <s v="Travel_Rarely"/>
    <n v="571"/>
    <x v="1"/>
    <x v="17"/>
    <n v="1"/>
    <s v="Life Sciences"/>
    <n v="1"/>
    <n v="802"/>
    <n v="4"/>
    <x v="0"/>
    <n v="82"/>
    <n v="3"/>
    <x v="1"/>
    <x v="1"/>
    <n v="1"/>
    <s v="Divorced"/>
    <n v="2782"/>
    <n v="19905"/>
    <n v="0"/>
    <s v="Y"/>
    <x v="0"/>
    <n v="13"/>
    <n v="3"/>
    <n v="2"/>
    <n v="80"/>
    <n v="2"/>
    <n v="6"/>
    <n v="3"/>
    <n v="2"/>
    <x v="8"/>
    <n v="3"/>
    <n v="4"/>
    <n v="3"/>
  </r>
  <r>
    <n v="38"/>
    <x v="1"/>
    <s v="Travel_Frequently"/>
    <n v="240"/>
    <x v="1"/>
    <x v="2"/>
    <n v="4"/>
    <s v="Life Sciences"/>
    <n v="1"/>
    <n v="803"/>
    <n v="1"/>
    <x v="0"/>
    <n v="75"/>
    <n v="4"/>
    <x v="0"/>
    <x v="3"/>
    <n v="1"/>
    <s v="Single"/>
    <n v="5980"/>
    <n v="26085"/>
    <n v="6"/>
    <s v="Y"/>
    <x v="0"/>
    <n v="12"/>
    <n v="3"/>
    <n v="4"/>
    <n v="80"/>
    <n v="0"/>
    <n v="17"/>
    <n v="2"/>
    <n v="3"/>
    <x v="15"/>
    <n v="7"/>
    <n v="4"/>
    <n v="12"/>
  </r>
  <r>
    <n v="34"/>
    <x v="1"/>
    <s v="Travel_Rarely"/>
    <n v="121"/>
    <x v="1"/>
    <x v="2"/>
    <n v="4"/>
    <s v="Medical"/>
    <n v="1"/>
    <n v="804"/>
    <n v="3"/>
    <x v="0"/>
    <n v="86"/>
    <n v="2"/>
    <x v="1"/>
    <x v="1"/>
    <n v="1"/>
    <s v="Single"/>
    <n v="4381"/>
    <n v="7530"/>
    <n v="1"/>
    <s v="Y"/>
    <x v="1"/>
    <n v="11"/>
    <n v="3"/>
    <n v="3"/>
    <n v="80"/>
    <n v="0"/>
    <n v="6"/>
    <n v="3"/>
    <n v="3"/>
    <x v="0"/>
    <n v="5"/>
    <n v="1"/>
    <n v="3"/>
  </r>
  <r>
    <n v="35"/>
    <x v="1"/>
    <s v="Travel_Rarely"/>
    <n v="384"/>
    <x v="0"/>
    <x v="1"/>
    <n v="4"/>
    <s v="Life Sciences"/>
    <n v="1"/>
    <n v="805"/>
    <n v="1"/>
    <x v="0"/>
    <n v="72"/>
    <n v="3"/>
    <x v="1"/>
    <x v="6"/>
    <n v="4"/>
    <s v="Married"/>
    <n v="2572"/>
    <n v="20317"/>
    <n v="1"/>
    <s v="Y"/>
    <x v="1"/>
    <n v="16"/>
    <n v="3"/>
    <n v="2"/>
    <n v="80"/>
    <n v="1"/>
    <n v="3"/>
    <n v="1"/>
    <n v="2"/>
    <x v="11"/>
    <n v="2"/>
    <n v="0"/>
    <n v="2"/>
  </r>
  <r>
    <n v="30"/>
    <x v="1"/>
    <s v="Travel_Rarely"/>
    <n v="921"/>
    <x v="1"/>
    <x v="0"/>
    <n v="3"/>
    <s v="Life Sciences"/>
    <n v="1"/>
    <n v="806"/>
    <n v="4"/>
    <x v="1"/>
    <n v="38"/>
    <n v="1"/>
    <x v="1"/>
    <x v="2"/>
    <n v="3"/>
    <s v="Married"/>
    <n v="3833"/>
    <n v="24375"/>
    <n v="3"/>
    <s v="Y"/>
    <x v="1"/>
    <n v="21"/>
    <n v="4"/>
    <n v="3"/>
    <n v="80"/>
    <n v="2"/>
    <n v="7"/>
    <n v="2"/>
    <n v="3"/>
    <x v="4"/>
    <n v="2"/>
    <n v="0"/>
    <n v="2"/>
  </r>
  <r>
    <n v="40"/>
    <x v="1"/>
    <s v="Travel_Frequently"/>
    <n v="791"/>
    <x v="1"/>
    <x v="2"/>
    <n v="2"/>
    <s v="Medical"/>
    <n v="1"/>
    <n v="807"/>
    <n v="3"/>
    <x v="0"/>
    <n v="38"/>
    <n v="4"/>
    <x v="0"/>
    <x v="4"/>
    <n v="2"/>
    <s v="Married"/>
    <n v="4244"/>
    <n v="9931"/>
    <n v="1"/>
    <s v="Y"/>
    <x v="1"/>
    <n v="24"/>
    <n v="4"/>
    <n v="4"/>
    <n v="80"/>
    <n v="1"/>
    <n v="8"/>
    <n v="2"/>
    <n v="3"/>
    <x v="3"/>
    <n v="7"/>
    <n v="3"/>
    <n v="7"/>
  </r>
  <r>
    <n v="34"/>
    <x v="1"/>
    <s v="Travel_Rarely"/>
    <n v="1111"/>
    <x v="0"/>
    <x v="1"/>
    <n v="2"/>
    <s v="Life Sciences"/>
    <n v="1"/>
    <n v="808"/>
    <n v="3"/>
    <x v="0"/>
    <n v="93"/>
    <n v="3"/>
    <x v="0"/>
    <x v="0"/>
    <n v="1"/>
    <s v="Married"/>
    <n v="6500"/>
    <n v="13305"/>
    <n v="5"/>
    <s v="Y"/>
    <x v="1"/>
    <n v="17"/>
    <n v="3"/>
    <n v="2"/>
    <n v="80"/>
    <n v="1"/>
    <n v="6"/>
    <n v="1"/>
    <n v="3"/>
    <x v="11"/>
    <n v="2"/>
    <n v="1"/>
    <n v="2"/>
  </r>
  <r>
    <n v="42"/>
    <x v="1"/>
    <s v="Travel_Frequently"/>
    <n v="570"/>
    <x v="1"/>
    <x v="1"/>
    <n v="3"/>
    <s v="Life Sciences"/>
    <n v="1"/>
    <n v="809"/>
    <n v="2"/>
    <x v="1"/>
    <n v="66"/>
    <n v="3"/>
    <x v="4"/>
    <x v="5"/>
    <n v="4"/>
    <s v="Divorced"/>
    <n v="18430"/>
    <n v="16225"/>
    <n v="1"/>
    <s v="Y"/>
    <x v="1"/>
    <n v="13"/>
    <n v="3"/>
    <n v="2"/>
    <n v="80"/>
    <n v="1"/>
    <n v="24"/>
    <n v="4"/>
    <n v="2"/>
    <x v="25"/>
    <n v="7"/>
    <n v="14"/>
    <n v="9"/>
  </r>
  <r>
    <n v="23"/>
    <x v="0"/>
    <s v="Travel_Rarely"/>
    <n v="1243"/>
    <x v="1"/>
    <x v="16"/>
    <n v="3"/>
    <s v="Life Sciences"/>
    <n v="1"/>
    <n v="811"/>
    <n v="3"/>
    <x v="1"/>
    <n v="63"/>
    <n v="4"/>
    <x v="1"/>
    <x v="2"/>
    <n v="1"/>
    <s v="Married"/>
    <n v="1601"/>
    <n v="3445"/>
    <n v="1"/>
    <s v="Y"/>
    <x v="0"/>
    <n v="21"/>
    <n v="4"/>
    <n v="3"/>
    <n v="80"/>
    <n v="2"/>
    <n v="1"/>
    <n v="2"/>
    <n v="3"/>
    <x v="2"/>
    <n v="0"/>
    <n v="0"/>
    <n v="0"/>
  </r>
  <r>
    <n v="24"/>
    <x v="1"/>
    <s v="Non-Travel"/>
    <n v="1092"/>
    <x v="1"/>
    <x v="14"/>
    <n v="3"/>
    <s v="Life Sciences"/>
    <n v="1"/>
    <n v="812"/>
    <n v="3"/>
    <x v="1"/>
    <n v="60"/>
    <n v="2"/>
    <x v="1"/>
    <x v="2"/>
    <n v="2"/>
    <s v="Divorced"/>
    <n v="2694"/>
    <n v="26551"/>
    <n v="1"/>
    <s v="Y"/>
    <x v="1"/>
    <n v="11"/>
    <n v="3"/>
    <n v="3"/>
    <n v="80"/>
    <n v="3"/>
    <n v="1"/>
    <n v="4"/>
    <n v="3"/>
    <x v="6"/>
    <n v="0"/>
    <n v="0"/>
    <n v="0"/>
  </r>
  <r>
    <n v="52"/>
    <x v="1"/>
    <s v="Travel_Rarely"/>
    <n v="1325"/>
    <x v="1"/>
    <x v="13"/>
    <n v="4"/>
    <s v="Life Sciences"/>
    <n v="1"/>
    <n v="813"/>
    <n v="4"/>
    <x v="0"/>
    <n v="82"/>
    <n v="3"/>
    <x v="0"/>
    <x v="2"/>
    <n v="3"/>
    <s v="Married"/>
    <n v="3149"/>
    <n v="21821"/>
    <n v="8"/>
    <s v="Y"/>
    <x v="1"/>
    <n v="20"/>
    <n v="4"/>
    <n v="2"/>
    <n v="80"/>
    <n v="1"/>
    <n v="9"/>
    <n v="3"/>
    <n v="3"/>
    <x v="8"/>
    <n v="2"/>
    <n v="1"/>
    <n v="4"/>
  </r>
  <r>
    <n v="50"/>
    <x v="1"/>
    <s v="Travel_Rarely"/>
    <n v="691"/>
    <x v="1"/>
    <x v="2"/>
    <n v="3"/>
    <s v="Medical"/>
    <n v="1"/>
    <n v="815"/>
    <n v="3"/>
    <x v="1"/>
    <n v="64"/>
    <n v="3"/>
    <x v="3"/>
    <x v="7"/>
    <n v="3"/>
    <s v="Married"/>
    <n v="17639"/>
    <n v="6881"/>
    <n v="5"/>
    <s v="Y"/>
    <x v="1"/>
    <n v="16"/>
    <n v="3"/>
    <n v="4"/>
    <n v="80"/>
    <n v="0"/>
    <n v="30"/>
    <n v="3"/>
    <n v="3"/>
    <x v="9"/>
    <n v="3"/>
    <n v="0"/>
    <n v="3"/>
  </r>
  <r>
    <n v="29"/>
    <x v="0"/>
    <s v="Travel_Rarely"/>
    <n v="805"/>
    <x v="1"/>
    <x v="0"/>
    <n v="2"/>
    <s v="Life Sciences"/>
    <n v="1"/>
    <n v="816"/>
    <n v="2"/>
    <x v="0"/>
    <n v="36"/>
    <n v="2"/>
    <x v="1"/>
    <x v="2"/>
    <n v="1"/>
    <s v="Married"/>
    <n v="2319"/>
    <n v="6689"/>
    <n v="1"/>
    <s v="Y"/>
    <x v="0"/>
    <n v="11"/>
    <n v="3"/>
    <n v="4"/>
    <n v="80"/>
    <n v="1"/>
    <n v="1"/>
    <n v="1"/>
    <n v="3"/>
    <x v="6"/>
    <n v="0"/>
    <n v="0"/>
    <n v="0"/>
  </r>
  <r>
    <n v="33"/>
    <x v="1"/>
    <s v="Travel_Rarely"/>
    <n v="213"/>
    <x v="1"/>
    <x v="15"/>
    <n v="3"/>
    <s v="Medical"/>
    <n v="1"/>
    <n v="817"/>
    <n v="3"/>
    <x v="1"/>
    <n v="49"/>
    <n v="3"/>
    <x v="2"/>
    <x v="7"/>
    <n v="3"/>
    <s v="Married"/>
    <n v="11691"/>
    <n v="25995"/>
    <n v="0"/>
    <s v="Y"/>
    <x v="1"/>
    <n v="11"/>
    <n v="3"/>
    <n v="4"/>
    <n v="80"/>
    <n v="0"/>
    <n v="14"/>
    <n v="3"/>
    <n v="4"/>
    <x v="20"/>
    <n v="9"/>
    <n v="3"/>
    <n v="7"/>
  </r>
  <r>
    <n v="33"/>
    <x v="0"/>
    <s v="Travel_Rarely"/>
    <n v="118"/>
    <x v="0"/>
    <x v="7"/>
    <n v="3"/>
    <s v="Marketing"/>
    <n v="1"/>
    <n v="819"/>
    <n v="1"/>
    <x v="0"/>
    <n v="69"/>
    <n v="3"/>
    <x v="0"/>
    <x v="0"/>
    <n v="1"/>
    <s v="Single"/>
    <n v="5324"/>
    <n v="26507"/>
    <n v="5"/>
    <s v="Y"/>
    <x v="1"/>
    <n v="15"/>
    <n v="3"/>
    <n v="3"/>
    <n v="80"/>
    <n v="0"/>
    <n v="6"/>
    <n v="3"/>
    <n v="3"/>
    <x v="11"/>
    <n v="2"/>
    <n v="0"/>
    <n v="2"/>
  </r>
  <r>
    <n v="47"/>
    <x v="1"/>
    <s v="Travel_Rarely"/>
    <n v="202"/>
    <x v="1"/>
    <x v="2"/>
    <n v="2"/>
    <s v="Other"/>
    <n v="1"/>
    <n v="820"/>
    <n v="3"/>
    <x v="0"/>
    <n v="33"/>
    <n v="3"/>
    <x v="3"/>
    <x v="5"/>
    <n v="4"/>
    <s v="Married"/>
    <n v="16752"/>
    <n v="12982"/>
    <n v="1"/>
    <s v="Y"/>
    <x v="0"/>
    <n v="11"/>
    <n v="3"/>
    <n v="3"/>
    <n v="80"/>
    <n v="1"/>
    <n v="26"/>
    <n v="3"/>
    <n v="2"/>
    <x v="34"/>
    <n v="14"/>
    <n v="3"/>
    <n v="0"/>
  </r>
  <r>
    <n v="36"/>
    <x v="1"/>
    <s v="Travel_Rarely"/>
    <n v="676"/>
    <x v="1"/>
    <x v="0"/>
    <n v="3"/>
    <s v="Other"/>
    <n v="1"/>
    <n v="823"/>
    <n v="3"/>
    <x v="0"/>
    <n v="35"/>
    <n v="3"/>
    <x v="0"/>
    <x v="3"/>
    <n v="2"/>
    <s v="Married"/>
    <n v="5228"/>
    <n v="23361"/>
    <n v="0"/>
    <s v="Y"/>
    <x v="1"/>
    <n v="15"/>
    <n v="3"/>
    <n v="1"/>
    <n v="80"/>
    <n v="1"/>
    <n v="10"/>
    <n v="2"/>
    <n v="3"/>
    <x v="7"/>
    <n v="7"/>
    <n v="0"/>
    <n v="5"/>
  </r>
  <r>
    <n v="29"/>
    <x v="1"/>
    <s v="Travel_Rarely"/>
    <n v="1252"/>
    <x v="1"/>
    <x v="5"/>
    <n v="2"/>
    <s v="Life Sciences"/>
    <n v="1"/>
    <n v="824"/>
    <n v="3"/>
    <x v="1"/>
    <n v="81"/>
    <n v="4"/>
    <x v="1"/>
    <x v="1"/>
    <n v="3"/>
    <s v="Married"/>
    <n v="2700"/>
    <n v="23779"/>
    <n v="1"/>
    <s v="Y"/>
    <x v="1"/>
    <n v="24"/>
    <n v="4"/>
    <n v="3"/>
    <n v="80"/>
    <n v="1"/>
    <n v="10"/>
    <n v="3"/>
    <n v="3"/>
    <x v="1"/>
    <n v="7"/>
    <n v="0"/>
    <n v="7"/>
  </r>
  <r>
    <n v="58"/>
    <x v="0"/>
    <s v="Travel_Rarely"/>
    <n v="286"/>
    <x v="1"/>
    <x v="2"/>
    <n v="4"/>
    <s v="Life Sciences"/>
    <n v="1"/>
    <n v="825"/>
    <n v="4"/>
    <x v="1"/>
    <n v="31"/>
    <n v="3"/>
    <x v="4"/>
    <x v="7"/>
    <n v="2"/>
    <s v="Single"/>
    <n v="19246"/>
    <n v="25761"/>
    <n v="7"/>
    <s v="Y"/>
    <x v="0"/>
    <n v="12"/>
    <n v="3"/>
    <n v="4"/>
    <n v="80"/>
    <n v="0"/>
    <n v="40"/>
    <n v="2"/>
    <n v="3"/>
    <x v="31"/>
    <n v="15"/>
    <n v="13"/>
    <n v="8"/>
  </r>
  <r>
    <n v="35"/>
    <x v="1"/>
    <s v="Travel_Rarely"/>
    <n v="1258"/>
    <x v="1"/>
    <x v="0"/>
    <n v="4"/>
    <s v="Life Sciences"/>
    <n v="1"/>
    <n v="826"/>
    <n v="4"/>
    <x v="0"/>
    <n v="40"/>
    <n v="4"/>
    <x v="1"/>
    <x v="1"/>
    <n v="3"/>
    <s v="Single"/>
    <n v="2506"/>
    <n v="13301"/>
    <n v="3"/>
    <s v="Y"/>
    <x v="1"/>
    <n v="13"/>
    <n v="3"/>
    <n v="3"/>
    <n v="80"/>
    <n v="0"/>
    <n v="7"/>
    <n v="0"/>
    <n v="3"/>
    <x v="4"/>
    <n v="2"/>
    <n v="2"/>
    <n v="2"/>
  </r>
  <r>
    <n v="42"/>
    <x v="1"/>
    <s v="Travel_Rarely"/>
    <n v="932"/>
    <x v="1"/>
    <x v="0"/>
    <n v="2"/>
    <s v="Life Sciences"/>
    <n v="1"/>
    <n v="827"/>
    <n v="4"/>
    <x v="0"/>
    <n v="43"/>
    <n v="2"/>
    <x v="0"/>
    <x v="3"/>
    <n v="4"/>
    <s v="Married"/>
    <n v="6062"/>
    <n v="4051"/>
    <n v="9"/>
    <s v="Y"/>
    <x v="0"/>
    <n v="13"/>
    <n v="3"/>
    <n v="4"/>
    <n v="80"/>
    <n v="1"/>
    <n v="8"/>
    <n v="4"/>
    <n v="3"/>
    <x v="9"/>
    <n v="3"/>
    <n v="0"/>
    <n v="2"/>
  </r>
  <r>
    <n v="28"/>
    <x v="0"/>
    <s v="Travel_Rarely"/>
    <n v="890"/>
    <x v="1"/>
    <x v="2"/>
    <n v="4"/>
    <s v="Medical"/>
    <n v="1"/>
    <n v="828"/>
    <n v="3"/>
    <x v="1"/>
    <n v="46"/>
    <n v="3"/>
    <x v="1"/>
    <x v="1"/>
    <n v="3"/>
    <s v="Single"/>
    <n v="4382"/>
    <n v="16374"/>
    <n v="6"/>
    <s v="Y"/>
    <x v="1"/>
    <n v="17"/>
    <n v="3"/>
    <n v="4"/>
    <n v="80"/>
    <n v="0"/>
    <n v="5"/>
    <n v="3"/>
    <n v="2"/>
    <x v="4"/>
    <n v="2"/>
    <n v="2"/>
    <n v="1"/>
  </r>
  <r>
    <n v="36"/>
    <x v="1"/>
    <s v="Travel_Rarely"/>
    <n v="1041"/>
    <x v="2"/>
    <x v="28"/>
    <n v="3"/>
    <s v="Human Resources"/>
    <n v="1"/>
    <n v="829"/>
    <n v="3"/>
    <x v="1"/>
    <n v="36"/>
    <n v="3"/>
    <x v="1"/>
    <x v="8"/>
    <n v="2"/>
    <s v="Married"/>
    <n v="2143"/>
    <n v="25527"/>
    <n v="4"/>
    <s v="Y"/>
    <x v="1"/>
    <n v="13"/>
    <n v="3"/>
    <n v="2"/>
    <n v="80"/>
    <n v="1"/>
    <n v="8"/>
    <n v="2"/>
    <n v="3"/>
    <x v="8"/>
    <n v="2"/>
    <n v="0"/>
    <n v="4"/>
  </r>
  <r>
    <n v="32"/>
    <x v="1"/>
    <s v="Travel_Rarely"/>
    <n v="859"/>
    <x v="1"/>
    <x v="18"/>
    <n v="3"/>
    <s v="Life Sciences"/>
    <n v="1"/>
    <n v="830"/>
    <n v="3"/>
    <x v="0"/>
    <n v="98"/>
    <n v="2"/>
    <x v="0"/>
    <x v="3"/>
    <n v="3"/>
    <s v="Married"/>
    <n v="6162"/>
    <n v="19124"/>
    <n v="1"/>
    <s v="Y"/>
    <x v="1"/>
    <n v="12"/>
    <n v="3"/>
    <n v="3"/>
    <n v="80"/>
    <n v="1"/>
    <n v="14"/>
    <n v="3"/>
    <n v="3"/>
    <x v="13"/>
    <n v="13"/>
    <n v="6"/>
    <n v="8"/>
  </r>
  <r>
    <n v="40"/>
    <x v="1"/>
    <s v="Travel_Frequently"/>
    <n v="720"/>
    <x v="1"/>
    <x v="7"/>
    <n v="4"/>
    <s v="Medical"/>
    <n v="1"/>
    <n v="832"/>
    <n v="1"/>
    <x v="1"/>
    <n v="51"/>
    <n v="2"/>
    <x v="0"/>
    <x v="2"/>
    <n v="3"/>
    <s v="Single"/>
    <n v="5094"/>
    <n v="11983"/>
    <n v="6"/>
    <s v="Y"/>
    <x v="1"/>
    <n v="14"/>
    <n v="3"/>
    <n v="4"/>
    <n v="80"/>
    <n v="0"/>
    <n v="10"/>
    <n v="6"/>
    <n v="3"/>
    <x v="6"/>
    <n v="0"/>
    <n v="0"/>
    <n v="0"/>
  </r>
  <r>
    <n v="30"/>
    <x v="1"/>
    <s v="Travel_Rarely"/>
    <n v="946"/>
    <x v="1"/>
    <x v="2"/>
    <n v="3"/>
    <s v="Medical"/>
    <n v="1"/>
    <n v="833"/>
    <n v="3"/>
    <x v="0"/>
    <n v="52"/>
    <n v="2"/>
    <x v="0"/>
    <x v="3"/>
    <n v="4"/>
    <s v="Single"/>
    <n v="6877"/>
    <n v="20234"/>
    <n v="5"/>
    <s v="Y"/>
    <x v="0"/>
    <n v="24"/>
    <n v="4"/>
    <n v="2"/>
    <n v="80"/>
    <n v="0"/>
    <n v="12"/>
    <n v="4"/>
    <n v="2"/>
    <x v="2"/>
    <n v="0"/>
    <n v="0"/>
    <n v="0"/>
  </r>
  <r>
    <n v="45"/>
    <x v="1"/>
    <s v="Travel_Rarely"/>
    <n v="252"/>
    <x v="1"/>
    <x v="2"/>
    <n v="3"/>
    <s v="Life Sciences"/>
    <n v="1"/>
    <n v="834"/>
    <n v="2"/>
    <x v="0"/>
    <n v="95"/>
    <n v="2"/>
    <x v="1"/>
    <x v="1"/>
    <n v="3"/>
    <s v="Single"/>
    <n v="2274"/>
    <n v="6153"/>
    <n v="1"/>
    <s v="Y"/>
    <x v="1"/>
    <n v="14"/>
    <n v="3"/>
    <n v="4"/>
    <n v="80"/>
    <n v="0"/>
    <n v="1"/>
    <n v="3"/>
    <n v="3"/>
    <x v="6"/>
    <n v="0"/>
    <n v="0"/>
    <n v="0"/>
  </r>
  <r>
    <n v="42"/>
    <x v="1"/>
    <s v="Travel_Rarely"/>
    <n v="933"/>
    <x v="1"/>
    <x v="22"/>
    <n v="3"/>
    <s v="Life Sciences"/>
    <n v="1"/>
    <n v="836"/>
    <n v="2"/>
    <x v="1"/>
    <n v="98"/>
    <n v="3"/>
    <x v="0"/>
    <x v="3"/>
    <n v="2"/>
    <s v="Married"/>
    <n v="4434"/>
    <n v="11806"/>
    <n v="1"/>
    <s v="Y"/>
    <x v="1"/>
    <n v="13"/>
    <n v="3"/>
    <n v="4"/>
    <n v="80"/>
    <n v="1"/>
    <n v="10"/>
    <n v="3"/>
    <n v="2"/>
    <x v="7"/>
    <n v="8"/>
    <n v="7"/>
    <n v="8"/>
  </r>
  <r>
    <n v="38"/>
    <x v="1"/>
    <s v="Travel_Frequently"/>
    <n v="471"/>
    <x v="1"/>
    <x v="20"/>
    <n v="3"/>
    <s v="Life Sciences"/>
    <n v="1"/>
    <n v="837"/>
    <n v="1"/>
    <x v="1"/>
    <n v="45"/>
    <n v="2"/>
    <x v="0"/>
    <x v="4"/>
    <n v="1"/>
    <s v="Divorced"/>
    <n v="6288"/>
    <n v="4284"/>
    <n v="2"/>
    <s v="Y"/>
    <x v="1"/>
    <n v="15"/>
    <n v="3"/>
    <n v="3"/>
    <n v="80"/>
    <n v="1"/>
    <n v="13"/>
    <n v="3"/>
    <n v="2"/>
    <x v="9"/>
    <n v="3"/>
    <n v="1"/>
    <n v="2"/>
  </r>
  <r>
    <n v="34"/>
    <x v="1"/>
    <s v="Travel_Frequently"/>
    <n v="702"/>
    <x v="1"/>
    <x v="7"/>
    <n v="4"/>
    <s v="Life Sciences"/>
    <n v="1"/>
    <n v="838"/>
    <n v="3"/>
    <x v="0"/>
    <n v="100"/>
    <n v="2"/>
    <x v="1"/>
    <x v="1"/>
    <n v="4"/>
    <s v="Single"/>
    <n v="2553"/>
    <n v="8306"/>
    <n v="1"/>
    <s v="Y"/>
    <x v="1"/>
    <n v="16"/>
    <n v="3"/>
    <n v="3"/>
    <n v="80"/>
    <n v="0"/>
    <n v="6"/>
    <n v="3"/>
    <n v="3"/>
    <x v="8"/>
    <n v="2"/>
    <n v="1"/>
    <n v="3"/>
  </r>
  <r>
    <n v="49"/>
    <x v="0"/>
    <s v="Travel_Rarely"/>
    <n v="1184"/>
    <x v="0"/>
    <x v="13"/>
    <n v="3"/>
    <s v="Marketing"/>
    <n v="1"/>
    <n v="840"/>
    <n v="3"/>
    <x v="0"/>
    <n v="43"/>
    <n v="3"/>
    <x v="2"/>
    <x v="0"/>
    <n v="4"/>
    <s v="Married"/>
    <n v="7654"/>
    <n v="5860"/>
    <n v="1"/>
    <s v="Y"/>
    <x v="1"/>
    <n v="18"/>
    <n v="3"/>
    <n v="1"/>
    <n v="80"/>
    <n v="2"/>
    <n v="9"/>
    <n v="3"/>
    <n v="4"/>
    <x v="7"/>
    <n v="8"/>
    <n v="7"/>
    <n v="7"/>
  </r>
  <r>
    <n v="55"/>
    <x v="0"/>
    <s v="Travel_Rarely"/>
    <n v="436"/>
    <x v="0"/>
    <x v="2"/>
    <n v="1"/>
    <s v="Medical"/>
    <n v="1"/>
    <n v="842"/>
    <n v="3"/>
    <x v="1"/>
    <n v="37"/>
    <n v="3"/>
    <x v="0"/>
    <x v="0"/>
    <n v="4"/>
    <s v="Single"/>
    <n v="5160"/>
    <n v="21519"/>
    <n v="4"/>
    <s v="Y"/>
    <x v="1"/>
    <n v="16"/>
    <n v="3"/>
    <n v="3"/>
    <n v="80"/>
    <n v="0"/>
    <n v="12"/>
    <n v="3"/>
    <n v="2"/>
    <x v="7"/>
    <n v="7"/>
    <n v="7"/>
    <n v="3"/>
  </r>
  <r>
    <n v="43"/>
    <x v="1"/>
    <s v="Travel_Rarely"/>
    <n v="589"/>
    <x v="1"/>
    <x v="24"/>
    <n v="2"/>
    <s v="Life Sciences"/>
    <n v="1"/>
    <n v="843"/>
    <n v="2"/>
    <x v="1"/>
    <n v="94"/>
    <n v="3"/>
    <x v="3"/>
    <x v="7"/>
    <n v="1"/>
    <s v="Married"/>
    <n v="17159"/>
    <n v="5200"/>
    <n v="6"/>
    <s v="Y"/>
    <x v="1"/>
    <n v="24"/>
    <n v="4"/>
    <n v="3"/>
    <n v="80"/>
    <n v="1"/>
    <n v="22"/>
    <n v="3"/>
    <n v="3"/>
    <x v="9"/>
    <n v="1"/>
    <n v="1"/>
    <n v="0"/>
  </r>
  <r>
    <n v="27"/>
    <x v="1"/>
    <s v="Travel_Rarely"/>
    <n v="269"/>
    <x v="1"/>
    <x v="12"/>
    <n v="1"/>
    <s v="Technical Degree"/>
    <n v="1"/>
    <n v="844"/>
    <n v="3"/>
    <x v="1"/>
    <n v="42"/>
    <n v="2"/>
    <x v="2"/>
    <x v="7"/>
    <n v="4"/>
    <s v="Divorced"/>
    <n v="12808"/>
    <n v="8842"/>
    <n v="1"/>
    <s v="Y"/>
    <x v="0"/>
    <n v="16"/>
    <n v="3"/>
    <n v="2"/>
    <n v="80"/>
    <n v="1"/>
    <n v="9"/>
    <n v="3"/>
    <n v="3"/>
    <x v="7"/>
    <n v="8"/>
    <n v="0"/>
    <n v="8"/>
  </r>
  <r>
    <n v="35"/>
    <x v="1"/>
    <s v="Travel_Rarely"/>
    <n v="950"/>
    <x v="1"/>
    <x v="15"/>
    <n v="3"/>
    <s v="Other"/>
    <n v="1"/>
    <n v="845"/>
    <n v="3"/>
    <x v="1"/>
    <n v="59"/>
    <n v="3"/>
    <x v="2"/>
    <x v="3"/>
    <n v="3"/>
    <s v="Single"/>
    <n v="10221"/>
    <n v="18869"/>
    <n v="3"/>
    <s v="Y"/>
    <x v="1"/>
    <n v="21"/>
    <n v="4"/>
    <n v="2"/>
    <n v="80"/>
    <n v="0"/>
    <n v="17"/>
    <n v="3"/>
    <n v="4"/>
    <x v="3"/>
    <n v="5"/>
    <n v="1"/>
    <n v="6"/>
  </r>
  <r>
    <n v="28"/>
    <x v="1"/>
    <s v="Travel_Rarely"/>
    <n v="760"/>
    <x v="0"/>
    <x v="2"/>
    <n v="4"/>
    <s v="Marketing"/>
    <n v="1"/>
    <n v="846"/>
    <n v="2"/>
    <x v="0"/>
    <n v="81"/>
    <n v="3"/>
    <x v="0"/>
    <x v="0"/>
    <n v="2"/>
    <s v="Married"/>
    <n v="4779"/>
    <n v="3698"/>
    <n v="1"/>
    <s v="Y"/>
    <x v="0"/>
    <n v="20"/>
    <n v="4"/>
    <n v="1"/>
    <n v="80"/>
    <n v="0"/>
    <n v="8"/>
    <n v="2"/>
    <n v="3"/>
    <x v="3"/>
    <n v="7"/>
    <n v="7"/>
    <n v="5"/>
  </r>
  <r>
    <n v="34"/>
    <x v="1"/>
    <s v="Travel_Rarely"/>
    <n v="829"/>
    <x v="2"/>
    <x v="3"/>
    <n v="2"/>
    <s v="Human Resources"/>
    <n v="1"/>
    <n v="847"/>
    <n v="3"/>
    <x v="1"/>
    <n v="88"/>
    <n v="3"/>
    <x v="1"/>
    <x v="8"/>
    <n v="4"/>
    <s v="Married"/>
    <n v="3737"/>
    <n v="2243"/>
    <n v="0"/>
    <s v="Y"/>
    <x v="1"/>
    <n v="19"/>
    <n v="3"/>
    <n v="3"/>
    <n v="80"/>
    <n v="1"/>
    <n v="4"/>
    <n v="1"/>
    <n v="1"/>
    <x v="11"/>
    <n v="2"/>
    <n v="0"/>
    <n v="2"/>
  </r>
  <r>
    <n v="26"/>
    <x v="0"/>
    <s v="Travel_Frequently"/>
    <n v="887"/>
    <x v="1"/>
    <x v="12"/>
    <n v="2"/>
    <s v="Medical"/>
    <n v="1"/>
    <n v="848"/>
    <n v="3"/>
    <x v="0"/>
    <n v="88"/>
    <n v="2"/>
    <x v="1"/>
    <x v="1"/>
    <n v="3"/>
    <s v="Married"/>
    <n v="2366"/>
    <n v="20898"/>
    <n v="1"/>
    <s v="Y"/>
    <x v="0"/>
    <n v="14"/>
    <n v="3"/>
    <n v="1"/>
    <n v="80"/>
    <n v="1"/>
    <n v="8"/>
    <n v="2"/>
    <n v="3"/>
    <x v="3"/>
    <n v="7"/>
    <n v="1"/>
    <n v="7"/>
  </r>
  <r>
    <n v="27"/>
    <x v="1"/>
    <s v="Non-Travel"/>
    <n v="443"/>
    <x v="1"/>
    <x v="3"/>
    <n v="3"/>
    <s v="Medical"/>
    <n v="1"/>
    <n v="850"/>
    <n v="4"/>
    <x v="1"/>
    <n v="50"/>
    <n v="3"/>
    <x v="1"/>
    <x v="1"/>
    <n v="4"/>
    <s v="Married"/>
    <n v="1706"/>
    <n v="16571"/>
    <n v="1"/>
    <s v="Y"/>
    <x v="1"/>
    <n v="11"/>
    <n v="3"/>
    <n v="3"/>
    <n v="80"/>
    <n v="3"/>
    <n v="0"/>
    <n v="6"/>
    <n v="2"/>
    <x v="2"/>
    <n v="0"/>
    <n v="0"/>
    <n v="0"/>
  </r>
  <r>
    <n v="51"/>
    <x v="1"/>
    <s v="Travel_Rarely"/>
    <n v="1318"/>
    <x v="0"/>
    <x v="9"/>
    <n v="4"/>
    <s v="Marketing"/>
    <n v="1"/>
    <n v="851"/>
    <n v="1"/>
    <x v="0"/>
    <n v="66"/>
    <n v="3"/>
    <x v="3"/>
    <x v="5"/>
    <n v="3"/>
    <s v="Married"/>
    <n v="16307"/>
    <n v="5594"/>
    <n v="2"/>
    <s v="Y"/>
    <x v="1"/>
    <n v="14"/>
    <n v="3"/>
    <n v="3"/>
    <n v="80"/>
    <n v="1"/>
    <n v="29"/>
    <n v="2"/>
    <n v="2"/>
    <x v="23"/>
    <n v="6"/>
    <n v="4"/>
    <n v="17"/>
  </r>
  <r>
    <n v="44"/>
    <x v="1"/>
    <s v="Travel_Rarely"/>
    <n v="625"/>
    <x v="1"/>
    <x v="18"/>
    <n v="3"/>
    <s v="Medical"/>
    <n v="1"/>
    <n v="852"/>
    <n v="4"/>
    <x v="1"/>
    <n v="50"/>
    <n v="3"/>
    <x v="0"/>
    <x v="4"/>
    <n v="2"/>
    <s v="Single"/>
    <n v="5933"/>
    <n v="5197"/>
    <n v="9"/>
    <s v="Y"/>
    <x v="1"/>
    <n v="12"/>
    <n v="3"/>
    <n v="4"/>
    <n v="80"/>
    <n v="0"/>
    <n v="10"/>
    <n v="2"/>
    <n v="2"/>
    <x v="8"/>
    <n v="2"/>
    <n v="2"/>
    <n v="3"/>
  </r>
  <r>
    <n v="25"/>
    <x v="1"/>
    <s v="Travel_Rarely"/>
    <n v="180"/>
    <x v="1"/>
    <x v="2"/>
    <n v="1"/>
    <s v="Medical"/>
    <n v="1"/>
    <n v="854"/>
    <n v="1"/>
    <x v="1"/>
    <n v="65"/>
    <n v="4"/>
    <x v="1"/>
    <x v="1"/>
    <n v="1"/>
    <s v="Single"/>
    <n v="3424"/>
    <n v="21632"/>
    <n v="7"/>
    <s v="Y"/>
    <x v="1"/>
    <n v="13"/>
    <n v="3"/>
    <n v="3"/>
    <n v="80"/>
    <n v="0"/>
    <n v="6"/>
    <n v="3"/>
    <n v="2"/>
    <x v="9"/>
    <n v="3"/>
    <n v="0"/>
    <n v="1"/>
  </r>
  <r>
    <n v="33"/>
    <x v="1"/>
    <s v="Travel_Rarely"/>
    <n v="586"/>
    <x v="0"/>
    <x v="0"/>
    <n v="3"/>
    <s v="Medical"/>
    <n v="1"/>
    <n v="855"/>
    <n v="1"/>
    <x v="1"/>
    <n v="48"/>
    <n v="4"/>
    <x v="0"/>
    <x v="0"/>
    <n v="1"/>
    <s v="Divorced"/>
    <n v="4037"/>
    <n v="21816"/>
    <n v="1"/>
    <s v="Y"/>
    <x v="1"/>
    <n v="22"/>
    <n v="4"/>
    <n v="1"/>
    <n v="80"/>
    <n v="1"/>
    <n v="9"/>
    <n v="5"/>
    <n v="3"/>
    <x v="7"/>
    <n v="8"/>
    <n v="0"/>
    <n v="8"/>
  </r>
  <r>
    <n v="35"/>
    <x v="1"/>
    <s v="Travel_Rarely"/>
    <n v="1343"/>
    <x v="1"/>
    <x v="6"/>
    <n v="1"/>
    <s v="Medical"/>
    <n v="1"/>
    <n v="856"/>
    <n v="3"/>
    <x v="0"/>
    <n v="53"/>
    <n v="2"/>
    <x v="1"/>
    <x v="1"/>
    <n v="1"/>
    <s v="Single"/>
    <n v="2559"/>
    <n v="17852"/>
    <n v="1"/>
    <s v="Y"/>
    <x v="1"/>
    <n v="11"/>
    <n v="3"/>
    <n v="4"/>
    <n v="80"/>
    <n v="0"/>
    <n v="6"/>
    <n v="3"/>
    <n v="2"/>
    <x v="0"/>
    <n v="5"/>
    <n v="1"/>
    <n v="1"/>
  </r>
  <r>
    <n v="36"/>
    <x v="1"/>
    <s v="Travel_Rarely"/>
    <n v="928"/>
    <x v="0"/>
    <x v="0"/>
    <n v="2"/>
    <s v="Life Sciences"/>
    <n v="1"/>
    <n v="857"/>
    <n v="2"/>
    <x v="1"/>
    <n v="56"/>
    <n v="3"/>
    <x v="0"/>
    <x v="0"/>
    <n v="4"/>
    <s v="Married"/>
    <n v="6201"/>
    <n v="2823"/>
    <n v="1"/>
    <s v="Y"/>
    <x v="0"/>
    <n v="14"/>
    <n v="3"/>
    <n v="4"/>
    <n v="80"/>
    <n v="1"/>
    <n v="18"/>
    <n v="1"/>
    <n v="2"/>
    <x v="29"/>
    <n v="14"/>
    <n v="4"/>
    <n v="11"/>
  </r>
  <r>
    <n v="32"/>
    <x v="1"/>
    <s v="Travel_Rarely"/>
    <n v="117"/>
    <x v="0"/>
    <x v="28"/>
    <n v="4"/>
    <s v="Life Sciences"/>
    <n v="1"/>
    <n v="859"/>
    <n v="2"/>
    <x v="1"/>
    <n v="73"/>
    <n v="3"/>
    <x v="0"/>
    <x v="0"/>
    <n v="4"/>
    <s v="Divorced"/>
    <n v="4403"/>
    <n v="9250"/>
    <n v="2"/>
    <s v="Y"/>
    <x v="1"/>
    <n v="11"/>
    <n v="3"/>
    <n v="3"/>
    <n v="80"/>
    <n v="1"/>
    <n v="8"/>
    <n v="3"/>
    <n v="2"/>
    <x v="8"/>
    <n v="2"/>
    <n v="0"/>
    <n v="3"/>
  </r>
  <r>
    <n v="30"/>
    <x v="1"/>
    <s v="Travel_Frequently"/>
    <n v="1012"/>
    <x v="1"/>
    <x v="12"/>
    <n v="4"/>
    <s v="Life Sciences"/>
    <n v="1"/>
    <n v="861"/>
    <n v="2"/>
    <x v="1"/>
    <n v="75"/>
    <n v="2"/>
    <x v="1"/>
    <x v="1"/>
    <n v="4"/>
    <s v="Divorced"/>
    <n v="3761"/>
    <n v="2373"/>
    <n v="9"/>
    <s v="Y"/>
    <x v="1"/>
    <n v="12"/>
    <n v="3"/>
    <n v="2"/>
    <n v="80"/>
    <n v="1"/>
    <n v="10"/>
    <n v="3"/>
    <n v="2"/>
    <x v="8"/>
    <n v="4"/>
    <n v="0"/>
    <n v="3"/>
  </r>
  <r>
    <n v="53"/>
    <x v="1"/>
    <s v="Travel_Rarely"/>
    <n v="661"/>
    <x v="0"/>
    <x v="15"/>
    <n v="2"/>
    <s v="Marketing"/>
    <n v="1"/>
    <n v="862"/>
    <n v="1"/>
    <x v="0"/>
    <n v="78"/>
    <n v="2"/>
    <x v="2"/>
    <x v="0"/>
    <n v="4"/>
    <s v="Married"/>
    <n v="10934"/>
    <n v="20715"/>
    <n v="7"/>
    <s v="Y"/>
    <x v="0"/>
    <n v="18"/>
    <n v="3"/>
    <n v="4"/>
    <n v="80"/>
    <n v="1"/>
    <n v="35"/>
    <n v="3"/>
    <n v="3"/>
    <x v="8"/>
    <n v="2"/>
    <n v="0"/>
    <n v="4"/>
  </r>
  <r>
    <n v="45"/>
    <x v="1"/>
    <s v="Travel_Rarely"/>
    <n v="930"/>
    <x v="0"/>
    <x v="14"/>
    <n v="3"/>
    <s v="Marketing"/>
    <n v="1"/>
    <n v="864"/>
    <n v="4"/>
    <x v="1"/>
    <n v="74"/>
    <n v="3"/>
    <x v="2"/>
    <x v="0"/>
    <n v="1"/>
    <s v="Divorced"/>
    <n v="10761"/>
    <n v="19239"/>
    <n v="4"/>
    <s v="Y"/>
    <x v="0"/>
    <n v="12"/>
    <n v="3"/>
    <n v="3"/>
    <n v="80"/>
    <n v="1"/>
    <n v="18"/>
    <n v="2"/>
    <n v="3"/>
    <x v="8"/>
    <n v="4"/>
    <n v="0"/>
    <n v="2"/>
  </r>
  <r>
    <n v="32"/>
    <x v="1"/>
    <s v="Travel_Rarely"/>
    <n v="638"/>
    <x v="1"/>
    <x v="1"/>
    <n v="2"/>
    <s v="Medical"/>
    <n v="1"/>
    <n v="865"/>
    <n v="3"/>
    <x v="0"/>
    <n v="91"/>
    <n v="4"/>
    <x v="0"/>
    <x v="1"/>
    <n v="3"/>
    <s v="Married"/>
    <n v="5175"/>
    <n v="22162"/>
    <n v="5"/>
    <s v="Y"/>
    <x v="1"/>
    <n v="12"/>
    <n v="3"/>
    <n v="3"/>
    <n v="80"/>
    <n v="1"/>
    <n v="9"/>
    <n v="3"/>
    <n v="2"/>
    <x v="8"/>
    <n v="3"/>
    <n v="1"/>
    <n v="3"/>
  </r>
  <r>
    <n v="52"/>
    <x v="1"/>
    <s v="Travel_Frequently"/>
    <n v="890"/>
    <x v="1"/>
    <x v="19"/>
    <n v="4"/>
    <s v="Medical"/>
    <n v="1"/>
    <n v="867"/>
    <n v="3"/>
    <x v="0"/>
    <n v="81"/>
    <n v="2"/>
    <x v="3"/>
    <x v="3"/>
    <n v="4"/>
    <s v="Married"/>
    <n v="13826"/>
    <n v="19028"/>
    <n v="3"/>
    <s v="Y"/>
    <x v="1"/>
    <n v="22"/>
    <n v="4"/>
    <n v="3"/>
    <n v="80"/>
    <n v="0"/>
    <n v="31"/>
    <n v="3"/>
    <n v="3"/>
    <x v="7"/>
    <n v="8"/>
    <n v="0"/>
    <n v="0"/>
  </r>
  <r>
    <n v="37"/>
    <x v="1"/>
    <s v="Travel_Rarely"/>
    <n v="342"/>
    <x v="0"/>
    <x v="7"/>
    <n v="4"/>
    <s v="Marketing"/>
    <n v="1"/>
    <n v="868"/>
    <n v="4"/>
    <x v="1"/>
    <n v="66"/>
    <n v="2"/>
    <x v="0"/>
    <x v="0"/>
    <n v="3"/>
    <s v="Divorced"/>
    <n v="6334"/>
    <n v="24558"/>
    <n v="4"/>
    <s v="Y"/>
    <x v="1"/>
    <n v="19"/>
    <n v="3"/>
    <n v="4"/>
    <n v="80"/>
    <n v="2"/>
    <n v="9"/>
    <n v="2"/>
    <n v="3"/>
    <x v="6"/>
    <n v="0"/>
    <n v="0"/>
    <n v="0"/>
  </r>
  <r>
    <n v="28"/>
    <x v="1"/>
    <s v="Travel_Rarely"/>
    <n v="1169"/>
    <x v="2"/>
    <x v="1"/>
    <n v="2"/>
    <s v="Medical"/>
    <n v="1"/>
    <n v="869"/>
    <n v="2"/>
    <x v="1"/>
    <n v="63"/>
    <n v="2"/>
    <x v="1"/>
    <x v="8"/>
    <n v="4"/>
    <s v="Divorced"/>
    <n v="4936"/>
    <n v="23965"/>
    <n v="1"/>
    <s v="Y"/>
    <x v="1"/>
    <n v="13"/>
    <n v="3"/>
    <n v="4"/>
    <n v="80"/>
    <n v="1"/>
    <n v="6"/>
    <n v="6"/>
    <n v="3"/>
    <x v="8"/>
    <n v="1"/>
    <n v="0"/>
    <n v="4"/>
  </r>
  <r>
    <n v="22"/>
    <x v="1"/>
    <s v="Travel_Rarely"/>
    <n v="1230"/>
    <x v="1"/>
    <x v="0"/>
    <n v="2"/>
    <s v="Life Sciences"/>
    <n v="1"/>
    <n v="872"/>
    <n v="4"/>
    <x v="1"/>
    <n v="33"/>
    <n v="2"/>
    <x v="0"/>
    <x v="3"/>
    <n v="4"/>
    <s v="Married"/>
    <n v="4775"/>
    <n v="19146"/>
    <n v="6"/>
    <s v="Y"/>
    <x v="1"/>
    <n v="22"/>
    <n v="4"/>
    <n v="1"/>
    <n v="80"/>
    <n v="2"/>
    <n v="4"/>
    <n v="2"/>
    <n v="1"/>
    <x v="4"/>
    <n v="2"/>
    <n v="2"/>
    <n v="2"/>
  </r>
  <r>
    <n v="44"/>
    <x v="1"/>
    <s v="Travel_Rarely"/>
    <n v="986"/>
    <x v="1"/>
    <x v="1"/>
    <n v="4"/>
    <s v="Life Sciences"/>
    <n v="1"/>
    <n v="874"/>
    <n v="1"/>
    <x v="1"/>
    <n v="62"/>
    <n v="4"/>
    <x v="1"/>
    <x v="2"/>
    <n v="4"/>
    <s v="Married"/>
    <n v="2818"/>
    <n v="5044"/>
    <n v="2"/>
    <s v="Y"/>
    <x v="0"/>
    <n v="24"/>
    <n v="4"/>
    <n v="3"/>
    <n v="80"/>
    <n v="1"/>
    <n v="10"/>
    <n v="2"/>
    <n v="2"/>
    <x v="11"/>
    <n v="2"/>
    <n v="0"/>
    <n v="2"/>
  </r>
  <r>
    <n v="42"/>
    <x v="1"/>
    <s v="Travel_Frequently"/>
    <n v="1271"/>
    <x v="1"/>
    <x v="2"/>
    <n v="1"/>
    <s v="Medical"/>
    <n v="1"/>
    <n v="875"/>
    <n v="2"/>
    <x v="1"/>
    <n v="35"/>
    <n v="3"/>
    <x v="1"/>
    <x v="1"/>
    <n v="4"/>
    <s v="Single"/>
    <n v="2515"/>
    <n v="9068"/>
    <n v="5"/>
    <s v="Y"/>
    <x v="0"/>
    <n v="14"/>
    <n v="3"/>
    <n v="4"/>
    <n v="80"/>
    <n v="0"/>
    <n v="8"/>
    <n v="2"/>
    <n v="3"/>
    <x v="4"/>
    <n v="1"/>
    <n v="2"/>
    <n v="2"/>
  </r>
  <r>
    <n v="36"/>
    <x v="1"/>
    <s v="Travel_Rarely"/>
    <n v="1278"/>
    <x v="2"/>
    <x v="1"/>
    <n v="3"/>
    <s v="Life Sciences"/>
    <n v="1"/>
    <n v="878"/>
    <n v="1"/>
    <x v="1"/>
    <n v="77"/>
    <n v="2"/>
    <x v="1"/>
    <x v="8"/>
    <n v="1"/>
    <s v="Married"/>
    <n v="2342"/>
    <n v="8635"/>
    <n v="0"/>
    <s v="Y"/>
    <x v="1"/>
    <n v="21"/>
    <n v="4"/>
    <n v="3"/>
    <n v="80"/>
    <n v="0"/>
    <n v="6"/>
    <n v="3"/>
    <n v="3"/>
    <x v="8"/>
    <n v="4"/>
    <n v="0"/>
    <n v="3"/>
  </r>
  <r>
    <n v="25"/>
    <x v="1"/>
    <s v="Travel_Rarely"/>
    <n v="141"/>
    <x v="0"/>
    <x v="3"/>
    <n v="1"/>
    <s v="Other"/>
    <n v="1"/>
    <n v="879"/>
    <n v="3"/>
    <x v="1"/>
    <n v="98"/>
    <n v="3"/>
    <x v="0"/>
    <x v="0"/>
    <n v="1"/>
    <s v="Married"/>
    <n v="4194"/>
    <n v="14363"/>
    <n v="1"/>
    <s v="Y"/>
    <x v="0"/>
    <n v="18"/>
    <n v="3"/>
    <n v="4"/>
    <n v="80"/>
    <n v="0"/>
    <n v="5"/>
    <n v="3"/>
    <n v="3"/>
    <x v="8"/>
    <n v="3"/>
    <n v="0"/>
    <n v="3"/>
  </r>
  <r>
    <n v="35"/>
    <x v="1"/>
    <s v="Travel_Rarely"/>
    <n v="607"/>
    <x v="1"/>
    <x v="14"/>
    <n v="3"/>
    <s v="Life Sciences"/>
    <n v="1"/>
    <n v="880"/>
    <n v="4"/>
    <x v="0"/>
    <n v="66"/>
    <n v="2"/>
    <x v="2"/>
    <x v="3"/>
    <n v="3"/>
    <s v="Married"/>
    <n v="10685"/>
    <n v="23457"/>
    <n v="1"/>
    <s v="Y"/>
    <x v="0"/>
    <n v="20"/>
    <n v="4"/>
    <n v="2"/>
    <n v="80"/>
    <n v="1"/>
    <n v="17"/>
    <n v="2"/>
    <n v="3"/>
    <x v="18"/>
    <n v="14"/>
    <n v="5"/>
    <n v="15"/>
  </r>
  <r>
    <n v="35"/>
    <x v="0"/>
    <s v="Travel_Frequently"/>
    <n v="130"/>
    <x v="1"/>
    <x v="19"/>
    <n v="4"/>
    <s v="Life Sciences"/>
    <n v="1"/>
    <n v="881"/>
    <n v="4"/>
    <x v="0"/>
    <n v="96"/>
    <n v="3"/>
    <x v="1"/>
    <x v="1"/>
    <n v="2"/>
    <s v="Divorced"/>
    <n v="2022"/>
    <n v="16612"/>
    <n v="1"/>
    <s v="Y"/>
    <x v="0"/>
    <n v="19"/>
    <n v="3"/>
    <n v="1"/>
    <n v="80"/>
    <n v="1"/>
    <n v="10"/>
    <n v="3"/>
    <n v="2"/>
    <x v="1"/>
    <n v="2"/>
    <n v="7"/>
    <n v="8"/>
  </r>
  <r>
    <n v="32"/>
    <x v="1"/>
    <s v="Non-Travel"/>
    <n v="300"/>
    <x v="1"/>
    <x v="0"/>
    <n v="3"/>
    <s v="Life Sciences"/>
    <n v="1"/>
    <n v="882"/>
    <n v="4"/>
    <x v="1"/>
    <n v="61"/>
    <n v="3"/>
    <x v="1"/>
    <x v="2"/>
    <n v="4"/>
    <s v="Divorced"/>
    <n v="2314"/>
    <n v="9148"/>
    <n v="0"/>
    <s v="Y"/>
    <x v="1"/>
    <n v="12"/>
    <n v="3"/>
    <n v="2"/>
    <n v="80"/>
    <n v="1"/>
    <n v="4"/>
    <n v="2"/>
    <n v="3"/>
    <x v="11"/>
    <n v="0"/>
    <n v="0"/>
    <n v="2"/>
  </r>
  <r>
    <n v="25"/>
    <x v="1"/>
    <s v="Travel_Rarely"/>
    <n v="583"/>
    <x v="0"/>
    <x v="18"/>
    <n v="1"/>
    <s v="Marketing"/>
    <n v="1"/>
    <n v="885"/>
    <n v="3"/>
    <x v="1"/>
    <n v="87"/>
    <n v="2"/>
    <x v="0"/>
    <x v="0"/>
    <n v="1"/>
    <s v="Married"/>
    <n v="4256"/>
    <n v="18154"/>
    <n v="1"/>
    <s v="Y"/>
    <x v="1"/>
    <n v="12"/>
    <n v="3"/>
    <n v="1"/>
    <n v="80"/>
    <n v="0"/>
    <n v="5"/>
    <n v="1"/>
    <n v="4"/>
    <x v="8"/>
    <n v="2"/>
    <n v="0"/>
    <n v="3"/>
  </r>
  <r>
    <n v="49"/>
    <x v="1"/>
    <s v="Travel_Rarely"/>
    <n v="1418"/>
    <x v="1"/>
    <x v="0"/>
    <n v="3"/>
    <s v="Technical Degree"/>
    <n v="1"/>
    <n v="887"/>
    <n v="3"/>
    <x v="0"/>
    <n v="36"/>
    <n v="3"/>
    <x v="1"/>
    <x v="1"/>
    <n v="1"/>
    <s v="Married"/>
    <n v="3580"/>
    <n v="10554"/>
    <n v="2"/>
    <s v="Y"/>
    <x v="1"/>
    <n v="16"/>
    <n v="3"/>
    <n v="2"/>
    <n v="80"/>
    <n v="1"/>
    <n v="7"/>
    <n v="2"/>
    <n v="3"/>
    <x v="9"/>
    <n v="2"/>
    <n v="0"/>
    <n v="2"/>
  </r>
  <r>
    <n v="24"/>
    <x v="1"/>
    <s v="Non-Travel"/>
    <n v="1269"/>
    <x v="1"/>
    <x v="18"/>
    <n v="1"/>
    <s v="Life Sciences"/>
    <n v="1"/>
    <n v="888"/>
    <n v="1"/>
    <x v="1"/>
    <n v="46"/>
    <n v="2"/>
    <x v="1"/>
    <x v="2"/>
    <n v="4"/>
    <s v="Married"/>
    <n v="3162"/>
    <n v="10778"/>
    <n v="0"/>
    <s v="Y"/>
    <x v="1"/>
    <n v="17"/>
    <n v="3"/>
    <n v="4"/>
    <n v="80"/>
    <n v="0"/>
    <n v="6"/>
    <n v="2"/>
    <n v="2"/>
    <x v="8"/>
    <n v="2"/>
    <n v="3"/>
    <n v="4"/>
  </r>
  <r>
    <n v="32"/>
    <x v="1"/>
    <s v="Travel_Frequently"/>
    <n v="379"/>
    <x v="0"/>
    <x v="12"/>
    <n v="2"/>
    <s v="Life Sciences"/>
    <n v="1"/>
    <n v="889"/>
    <n v="2"/>
    <x v="1"/>
    <n v="48"/>
    <n v="3"/>
    <x v="0"/>
    <x v="0"/>
    <n v="2"/>
    <s v="Married"/>
    <n v="6524"/>
    <n v="8891"/>
    <n v="1"/>
    <s v="Y"/>
    <x v="1"/>
    <n v="14"/>
    <n v="3"/>
    <n v="4"/>
    <n v="80"/>
    <n v="1"/>
    <n v="10"/>
    <n v="3"/>
    <n v="3"/>
    <x v="1"/>
    <n v="8"/>
    <n v="5"/>
    <n v="3"/>
  </r>
  <r>
    <n v="38"/>
    <x v="1"/>
    <s v="Travel_Rarely"/>
    <n v="395"/>
    <x v="0"/>
    <x v="14"/>
    <n v="3"/>
    <s v="Marketing"/>
    <n v="1"/>
    <n v="893"/>
    <n v="2"/>
    <x v="1"/>
    <n v="98"/>
    <n v="2"/>
    <x v="1"/>
    <x v="6"/>
    <n v="2"/>
    <s v="Married"/>
    <n v="2899"/>
    <n v="12102"/>
    <n v="0"/>
    <s v="Y"/>
    <x v="1"/>
    <n v="19"/>
    <n v="3"/>
    <n v="4"/>
    <n v="80"/>
    <n v="1"/>
    <n v="3"/>
    <n v="3"/>
    <n v="3"/>
    <x v="4"/>
    <n v="2"/>
    <n v="1"/>
    <n v="2"/>
  </r>
  <r>
    <n v="42"/>
    <x v="1"/>
    <s v="Travel_Rarely"/>
    <n v="1265"/>
    <x v="1"/>
    <x v="3"/>
    <n v="3"/>
    <s v="Life Sciences"/>
    <n v="1"/>
    <n v="894"/>
    <n v="3"/>
    <x v="0"/>
    <n v="95"/>
    <n v="4"/>
    <x v="0"/>
    <x v="2"/>
    <n v="4"/>
    <s v="Married"/>
    <n v="5231"/>
    <n v="23726"/>
    <n v="2"/>
    <s v="Y"/>
    <x v="0"/>
    <n v="13"/>
    <n v="3"/>
    <n v="2"/>
    <n v="80"/>
    <n v="1"/>
    <n v="17"/>
    <n v="1"/>
    <n v="2"/>
    <x v="8"/>
    <n v="3"/>
    <n v="1"/>
    <n v="3"/>
  </r>
  <r>
    <n v="31"/>
    <x v="1"/>
    <s v="Travel_Rarely"/>
    <n v="1222"/>
    <x v="1"/>
    <x v="13"/>
    <n v="4"/>
    <s v="Life Sciences"/>
    <n v="1"/>
    <n v="895"/>
    <n v="4"/>
    <x v="1"/>
    <n v="48"/>
    <n v="3"/>
    <x v="1"/>
    <x v="1"/>
    <n v="4"/>
    <s v="Married"/>
    <n v="2356"/>
    <n v="14871"/>
    <n v="3"/>
    <s v="Y"/>
    <x v="0"/>
    <n v="19"/>
    <n v="3"/>
    <n v="2"/>
    <n v="80"/>
    <n v="1"/>
    <n v="8"/>
    <n v="2"/>
    <n v="3"/>
    <x v="0"/>
    <n v="4"/>
    <n v="0"/>
    <n v="2"/>
  </r>
  <r>
    <n v="29"/>
    <x v="0"/>
    <s v="Travel_Rarely"/>
    <n v="341"/>
    <x v="0"/>
    <x v="0"/>
    <n v="3"/>
    <s v="Medical"/>
    <n v="1"/>
    <n v="896"/>
    <n v="2"/>
    <x v="0"/>
    <n v="48"/>
    <n v="2"/>
    <x v="1"/>
    <x v="6"/>
    <n v="3"/>
    <s v="Divorced"/>
    <n v="2800"/>
    <n v="23522"/>
    <n v="6"/>
    <s v="Y"/>
    <x v="0"/>
    <n v="19"/>
    <n v="3"/>
    <n v="3"/>
    <n v="80"/>
    <n v="3"/>
    <n v="5"/>
    <n v="3"/>
    <n v="3"/>
    <x v="11"/>
    <n v="2"/>
    <n v="0"/>
    <n v="2"/>
  </r>
  <r>
    <n v="53"/>
    <x v="1"/>
    <s v="Travel_Rarely"/>
    <n v="868"/>
    <x v="0"/>
    <x v="1"/>
    <n v="3"/>
    <s v="Marketing"/>
    <n v="1"/>
    <n v="897"/>
    <n v="1"/>
    <x v="1"/>
    <n v="73"/>
    <n v="3"/>
    <x v="3"/>
    <x v="0"/>
    <n v="4"/>
    <s v="Married"/>
    <n v="11836"/>
    <n v="22789"/>
    <n v="5"/>
    <s v="Y"/>
    <x v="1"/>
    <n v="14"/>
    <n v="3"/>
    <n v="3"/>
    <n v="80"/>
    <n v="1"/>
    <n v="28"/>
    <n v="3"/>
    <n v="3"/>
    <x v="4"/>
    <n v="0"/>
    <n v="2"/>
    <n v="2"/>
  </r>
  <r>
    <n v="35"/>
    <x v="1"/>
    <s v="Travel_Rarely"/>
    <n v="672"/>
    <x v="1"/>
    <x v="19"/>
    <n v="3"/>
    <s v="Technical Degree"/>
    <n v="1"/>
    <n v="899"/>
    <n v="4"/>
    <x v="1"/>
    <n v="78"/>
    <n v="2"/>
    <x v="2"/>
    <x v="3"/>
    <n v="2"/>
    <s v="Married"/>
    <n v="10903"/>
    <n v="9129"/>
    <n v="3"/>
    <s v="Y"/>
    <x v="1"/>
    <n v="16"/>
    <n v="3"/>
    <n v="1"/>
    <n v="80"/>
    <n v="0"/>
    <n v="16"/>
    <n v="2"/>
    <n v="3"/>
    <x v="20"/>
    <n v="10"/>
    <n v="4"/>
    <n v="8"/>
  </r>
  <r>
    <n v="37"/>
    <x v="1"/>
    <s v="Travel_Frequently"/>
    <n v="1231"/>
    <x v="0"/>
    <x v="11"/>
    <n v="2"/>
    <s v="Medical"/>
    <n v="1"/>
    <n v="900"/>
    <n v="3"/>
    <x v="0"/>
    <n v="54"/>
    <n v="3"/>
    <x v="1"/>
    <x v="6"/>
    <n v="4"/>
    <s v="Married"/>
    <n v="2973"/>
    <n v="21222"/>
    <n v="5"/>
    <s v="Y"/>
    <x v="1"/>
    <n v="15"/>
    <n v="3"/>
    <n v="2"/>
    <n v="80"/>
    <n v="1"/>
    <n v="10"/>
    <n v="3"/>
    <n v="3"/>
    <x v="8"/>
    <n v="4"/>
    <n v="0"/>
    <n v="0"/>
  </r>
  <r>
    <n v="53"/>
    <x v="1"/>
    <s v="Travel_Rarely"/>
    <n v="102"/>
    <x v="1"/>
    <x v="5"/>
    <n v="4"/>
    <s v="Life Sciences"/>
    <n v="1"/>
    <n v="901"/>
    <n v="4"/>
    <x v="0"/>
    <n v="72"/>
    <n v="3"/>
    <x v="3"/>
    <x v="7"/>
    <n v="4"/>
    <s v="Single"/>
    <n v="14275"/>
    <n v="20206"/>
    <n v="6"/>
    <s v="Y"/>
    <x v="1"/>
    <n v="18"/>
    <n v="3"/>
    <n v="3"/>
    <n v="80"/>
    <n v="0"/>
    <n v="33"/>
    <n v="0"/>
    <n v="3"/>
    <x v="12"/>
    <n v="9"/>
    <n v="3"/>
    <n v="8"/>
  </r>
  <r>
    <n v="43"/>
    <x v="1"/>
    <s v="Travel_Frequently"/>
    <n v="422"/>
    <x v="1"/>
    <x v="0"/>
    <n v="3"/>
    <s v="Life Sciences"/>
    <n v="1"/>
    <n v="902"/>
    <n v="4"/>
    <x v="0"/>
    <n v="33"/>
    <n v="3"/>
    <x v="0"/>
    <x v="4"/>
    <n v="4"/>
    <s v="Married"/>
    <n v="5562"/>
    <n v="21782"/>
    <n v="4"/>
    <s v="Y"/>
    <x v="1"/>
    <n v="13"/>
    <n v="3"/>
    <n v="2"/>
    <n v="80"/>
    <n v="1"/>
    <n v="12"/>
    <n v="2"/>
    <n v="2"/>
    <x v="8"/>
    <n v="2"/>
    <n v="2"/>
    <n v="2"/>
  </r>
  <r>
    <n v="47"/>
    <x v="1"/>
    <s v="Travel_Rarely"/>
    <n v="249"/>
    <x v="0"/>
    <x v="2"/>
    <n v="2"/>
    <s v="Marketing"/>
    <n v="1"/>
    <n v="903"/>
    <n v="3"/>
    <x v="0"/>
    <n v="35"/>
    <n v="3"/>
    <x v="0"/>
    <x v="0"/>
    <n v="4"/>
    <s v="Married"/>
    <n v="4537"/>
    <n v="17783"/>
    <n v="0"/>
    <s v="Y"/>
    <x v="0"/>
    <n v="22"/>
    <n v="4"/>
    <n v="1"/>
    <n v="80"/>
    <n v="1"/>
    <n v="8"/>
    <n v="2"/>
    <n v="3"/>
    <x v="5"/>
    <n v="6"/>
    <n v="7"/>
    <n v="7"/>
  </r>
  <r>
    <n v="37"/>
    <x v="1"/>
    <s v="Non-Travel"/>
    <n v="1252"/>
    <x v="0"/>
    <x v="10"/>
    <n v="2"/>
    <s v="Medical"/>
    <n v="1"/>
    <n v="904"/>
    <n v="1"/>
    <x v="1"/>
    <n v="32"/>
    <n v="3"/>
    <x v="2"/>
    <x v="0"/>
    <n v="2"/>
    <s v="Single"/>
    <n v="7642"/>
    <n v="4814"/>
    <n v="1"/>
    <s v="Y"/>
    <x v="0"/>
    <n v="13"/>
    <n v="3"/>
    <n v="4"/>
    <n v="80"/>
    <n v="0"/>
    <n v="10"/>
    <n v="2"/>
    <n v="3"/>
    <x v="1"/>
    <n v="0"/>
    <n v="0"/>
    <n v="9"/>
  </r>
  <r>
    <n v="50"/>
    <x v="1"/>
    <s v="Non-Travel"/>
    <n v="881"/>
    <x v="1"/>
    <x v="2"/>
    <n v="4"/>
    <s v="Life Sciences"/>
    <n v="1"/>
    <n v="905"/>
    <n v="1"/>
    <x v="1"/>
    <n v="98"/>
    <n v="3"/>
    <x v="3"/>
    <x v="5"/>
    <n v="1"/>
    <s v="Divorced"/>
    <n v="17924"/>
    <n v="4544"/>
    <n v="1"/>
    <s v="Y"/>
    <x v="1"/>
    <n v="11"/>
    <n v="3"/>
    <n v="4"/>
    <n v="80"/>
    <n v="1"/>
    <n v="31"/>
    <n v="3"/>
    <n v="3"/>
    <x v="31"/>
    <n v="6"/>
    <n v="14"/>
    <n v="7"/>
  </r>
  <r>
    <n v="39"/>
    <x v="1"/>
    <s v="Travel_Rarely"/>
    <n v="1383"/>
    <x v="2"/>
    <x v="2"/>
    <n v="3"/>
    <s v="Life Sciences"/>
    <n v="1"/>
    <n v="909"/>
    <n v="4"/>
    <x v="0"/>
    <n v="42"/>
    <n v="2"/>
    <x v="0"/>
    <x v="8"/>
    <n v="4"/>
    <s v="Married"/>
    <n v="5204"/>
    <n v="7790"/>
    <n v="8"/>
    <s v="Y"/>
    <x v="1"/>
    <n v="11"/>
    <n v="3"/>
    <n v="3"/>
    <n v="80"/>
    <n v="2"/>
    <n v="13"/>
    <n v="2"/>
    <n v="3"/>
    <x v="8"/>
    <n v="4"/>
    <n v="0"/>
    <n v="4"/>
  </r>
  <r>
    <n v="33"/>
    <x v="1"/>
    <s v="Travel_Rarely"/>
    <n v="1075"/>
    <x v="2"/>
    <x v="3"/>
    <n v="2"/>
    <s v="Human Resources"/>
    <n v="1"/>
    <n v="910"/>
    <n v="4"/>
    <x v="1"/>
    <n v="57"/>
    <n v="3"/>
    <x v="1"/>
    <x v="8"/>
    <n v="2"/>
    <s v="Divorced"/>
    <n v="2277"/>
    <n v="22650"/>
    <n v="3"/>
    <s v="Y"/>
    <x v="0"/>
    <n v="11"/>
    <n v="3"/>
    <n v="3"/>
    <n v="80"/>
    <n v="1"/>
    <n v="7"/>
    <n v="4"/>
    <n v="4"/>
    <x v="9"/>
    <n v="3"/>
    <n v="0"/>
    <n v="3"/>
  </r>
  <r>
    <n v="32"/>
    <x v="0"/>
    <s v="Travel_Rarely"/>
    <n v="374"/>
    <x v="1"/>
    <x v="19"/>
    <n v="4"/>
    <s v="Life Sciences"/>
    <n v="1"/>
    <n v="911"/>
    <n v="1"/>
    <x v="1"/>
    <n v="87"/>
    <n v="3"/>
    <x v="1"/>
    <x v="2"/>
    <n v="4"/>
    <s v="Single"/>
    <n v="2795"/>
    <n v="18016"/>
    <n v="1"/>
    <s v="Y"/>
    <x v="0"/>
    <n v="24"/>
    <n v="4"/>
    <n v="3"/>
    <n v="80"/>
    <n v="0"/>
    <n v="1"/>
    <n v="2"/>
    <n v="1"/>
    <x v="6"/>
    <n v="0"/>
    <n v="0"/>
    <n v="1"/>
  </r>
  <r>
    <n v="29"/>
    <x v="1"/>
    <s v="Travel_Rarely"/>
    <n v="1086"/>
    <x v="1"/>
    <x v="15"/>
    <n v="1"/>
    <s v="Medical"/>
    <n v="1"/>
    <n v="912"/>
    <n v="1"/>
    <x v="0"/>
    <n v="62"/>
    <n v="2"/>
    <x v="1"/>
    <x v="2"/>
    <n v="4"/>
    <s v="Divorced"/>
    <n v="2532"/>
    <n v="6054"/>
    <n v="6"/>
    <s v="Y"/>
    <x v="1"/>
    <n v="14"/>
    <n v="3"/>
    <n v="3"/>
    <n v="80"/>
    <n v="3"/>
    <n v="8"/>
    <n v="5"/>
    <n v="3"/>
    <x v="9"/>
    <n v="3"/>
    <n v="0"/>
    <n v="3"/>
  </r>
  <r>
    <n v="44"/>
    <x v="1"/>
    <s v="Travel_Rarely"/>
    <n v="661"/>
    <x v="1"/>
    <x v="14"/>
    <n v="2"/>
    <s v="Life Sciences"/>
    <n v="1"/>
    <n v="913"/>
    <n v="2"/>
    <x v="1"/>
    <n v="61"/>
    <n v="3"/>
    <x v="1"/>
    <x v="1"/>
    <n v="1"/>
    <s v="Married"/>
    <n v="2559"/>
    <n v="7508"/>
    <n v="1"/>
    <s v="Y"/>
    <x v="0"/>
    <n v="13"/>
    <n v="3"/>
    <n v="4"/>
    <n v="80"/>
    <n v="0"/>
    <n v="8"/>
    <n v="0"/>
    <n v="3"/>
    <x v="3"/>
    <n v="7"/>
    <n v="7"/>
    <n v="1"/>
  </r>
  <r>
    <n v="28"/>
    <x v="1"/>
    <s v="Travel_Rarely"/>
    <n v="821"/>
    <x v="0"/>
    <x v="12"/>
    <n v="4"/>
    <s v="Medical"/>
    <n v="1"/>
    <n v="916"/>
    <n v="1"/>
    <x v="1"/>
    <n v="98"/>
    <n v="3"/>
    <x v="0"/>
    <x v="0"/>
    <n v="4"/>
    <s v="Single"/>
    <n v="4908"/>
    <n v="24252"/>
    <n v="1"/>
    <s v="Y"/>
    <x v="1"/>
    <n v="14"/>
    <n v="3"/>
    <n v="2"/>
    <n v="80"/>
    <n v="0"/>
    <n v="4"/>
    <n v="3"/>
    <n v="3"/>
    <x v="9"/>
    <n v="2"/>
    <n v="0"/>
    <n v="2"/>
  </r>
  <r>
    <n v="58"/>
    <x v="0"/>
    <s v="Travel_Frequently"/>
    <n v="781"/>
    <x v="1"/>
    <x v="2"/>
    <n v="1"/>
    <s v="Life Sciences"/>
    <n v="1"/>
    <n v="918"/>
    <n v="4"/>
    <x v="1"/>
    <n v="57"/>
    <n v="2"/>
    <x v="1"/>
    <x v="2"/>
    <n v="4"/>
    <s v="Divorced"/>
    <n v="2380"/>
    <n v="13384"/>
    <n v="9"/>
    <s v="Y"/>
    <x v="0"/>
    <n v="14"/>
    <n v="3"/>
    <n v="4"/>
    <n v="80"/>
    <n v="1"/>
    <n v="3"/>
    <n v="3"/>
    <n v="2"/>
    <x v="6"/>
    <n v="0"/>
    <n v="0"/>
    <n v="0"/>
  </r>
  <r>
    <n v="43"/>
    <x v="1"/>
    <s v="Travel_Rarely"/>
    <n v="177"/>
    <x v="1"/>
    <x v="1"/>
    <n v="3"/>
    <s v="Life Sciences"/>
    <n v="1"/>
    <n v="920"/>
    <n v="1"/>
    <x v="0"/>
    <n v="55"/>
    <n v="3"/>
    <x v="0"/>
    <x v="3"/>
    <n v="2"/>
    <s v="Divorced"/>
    <n v="4765"/>
    <n v="23814"/>
    <n v="4"/>
    <s v="Y"/>
    <x v="1"/>
    <n v="21"/>
    <n v="4"/>
    <n v="3"/>
    <n v="80"/>
    <n v="1"/>
    <n v="4"/>
    <n v="2"/>
    <n v="4"/>
    <x v="6"/>
    <n v="0"/>
    <n v="0"/>
    <n v="0"/>
  </r>
  <r>
    <n v="20"/>
    <x v="0"/>
    <s v="Travel_Rarely"/>
    <n v="500"/>
    <x v="0"/>
    <x v="2"/>
    <n v="3"/>
    <s v="Medical"/>
    <n v="1"/>
    <n v="922"/>
    <n v="3"/>
    <x v="0"/>
    <n v="49"/>
    <n v="2"/>
    <x v="1"/>
    <x v="6"/>
    <n v="3"/>
    <s v="Single"/>
    <n v="2044"/>
    <n v="22052"/>
    <n v="1"/>
    <s v="Y"/>
    <x v="1"/>
    <n v="13"/>
    <n v="3"/>
    <n v="4"/>
    <n v="80"/>
    <n v="0"/>
    <n v="2"/>
    <n v="3"/>
    <n v="2"/>
    <x v="4"/>
    <n v="2"/>
    <n v="0"/>
    <n v="2"/>
  </r>
  <r>
    <n v="21"/>
    <x v="0"/>
    <s v="Travel_Rarely"/>
    <n v="1427"/>
    <x v="1"/>
    <x v="21"/>
    <n v="1"/>
    <s v="Other"/>
    <n v="1"/>
    <n v="923"/>
    <n v="4"/>
    <x v="0"/>
    <n v="65"/>
    <n v="3"/>
    <x v="1"/>
    <x v="1"/>
    <n v="4"/>
    <s v="Single"/>
    <n v="2693"/>
    <n v="8870"/>
    <n v="1"/>
    <s v="Y"/>
    <x v="1"/>
    <n v="19"/>
    <n v="3"/>
    <n v="1"/>
    <n v="80"/>
    <n v="0"/>
    <n v="1"/>
    <n v="3"/>
    <n v="2"/>
    <x v="6"/>
    <n v="0"/>
    <n v="0"/>
    <n v="0"/>
  </r>
  <r>
    <n v="36"/>
    <x v="1"/>
    <s v="Travel_Rarely"/>
    <n v="1425"/>
    <x v="1"/>
    <x v="24"/>
    <n v="1"/>
    <s v="Life Sciences"/>
    <n v="1"/>
    <n v="924"/>
    <n v="3"/>
    <x v="1"/>
    <n v="68"/>
    <n v="3"/>
    <x v="0"/>
    <x v="4"/>
    <n v="4"/>
    <s v="Married"/>
    <n v="6586"/>
    <n v="4821"/>
    <n v="0"/>
    <s v="Y"/>
    <x v="0"/>
    <n v="17"/>
    <n v="3"/>
    <n v="1"/>
    <n v="80"/>
    <n v="1"/>
    <n v="17"/>
    <n v="2"/>
    <n v="2"/>
    <x v="22"/>
    <n v="8"/>
    <n v="4"/>
    <n v="11"/>
  </r>
  <r>
    <n v="47"/>
    <x v="1"/>
    <s v="Travel_Rarely"/>
    <n v="1454"/>
    <x v="0"/>
    <x v="2"/>
    <n v="4"/>
    <s v="Life Sciences"/>
    <n v="1"/>
    <n v="925"/>
    <n v="4"/>
    <x v="0"/>
    <n v="65"/>
    <n v="2"/>
    <x v="1"/>
    <x v="6"/>
    <n v="4"/>
    <s v="Single"/>
    <n v="3294"/>
    <n v="13137"/>
    <n v="1"/>
    <s v="Y"/>
    <x v="0"/>
    <n v="18"/>
    <n v="3"/>
    <n v="1"/>
    <n v="80"/>
    <n v="0"/>
    <n v="3"/>
    <n v="3"/>
    <n v="2"/>
    <x v="11"/>
    <n v="2"/>
    <n v="1"/>
    <n v="2"/>
  </r>
  <r>
    <n v="22"/>
    <x v="0"/>
    <s v="Travel_Rarely"/>
    <n v="617"/>
    <x v="1"/>
    <x v="3"/>
    <n v="1"/>
    <s v="Life Sciences"/>
    <n v="1"/>
    <n v="926"/>
    <n v="2"/>
    <x v="0"/>
    <n v="34"/>
    <n v="3"/>
    <x v="0"/>
    <x v="3"/>
    <n v="3"/>
    <s v="Married"/>
    <n v="4171"/>
    <n v="10022"/>
    <n v="0"/>
    <s v="Y"/>
    <x v="0"/>
    <n v="19"/>
    <n v="3"/>
    <n v="1"/>
    <n v="80"/>
    <n v="1"/>
    <n v="4"/>
    <n v="3"/>
    <n v="4"/>
    <x v="11"/>
    <n v="2"/>
    <n v="0"/>
    <n v="2"/>
  </r>
  <r>
    <n v="41"/>
    <x v="0"/>
    <s v="Travel_Rarely"/>
    <n v="1085"/>
    <x v="1"/>
    <x v="2"/>
    <n v="4"/>
    <s v="Life Sciences"/>
    <n v="1"/>
    <n v="927"/>
    <n v="2"/>
    <x v="0"/>
    <n v="57"/>
    <n v="1"/>
    <x v="1"/>
    <x v="2"/>
    <n v="4"/>
    <s v="Divorced"/>
    <n v="2778"/>
    <n v="17725"/>
    <n v="4"/>
    <s v="Y"/>
    <x v="0"/>
    <n v="13"/>
    <n v="3"/>
    <n v="3"/>
    <n v="80"/>
    <n v="1"/>
    <n v="10"/>
    <n v="1"/>
    <n v="2"/>
    <x v="5"/>
    <n v="7"/>
    <n v="1"/>
    <n v="0"/>
  </r>
  <r>
    <n v="28"/>
    <x v="1"/>
    <s v="Travel_Rarely"/>
    <n v="995"/>
    <x v="1"/>
    <x v="14"/>
    <n v="3"/>
    <s v="Medical"/>
    <n v="1"/>
    <n v="930"/>
    <n v="3"/>
    <x v="0"/>
    <n v="77"/>
    <n v="3"/>
    <x v="1"/>
    <x v="1"/>
    <n v="3"/>
    <s v="Divorced"/>
    <n v="2377"/>
    <n v="9834"/>
    <n v="5"/>
    <s v="Y"/>
    <x v="1"/>
    <n v="18"/>
    <n v="3"/>
    <n v="2"/>
    <n v="80"/>
    <n v="1"/>
    <n v="6"/>
    <n v="2"/>
    <n v="3"/>
    <x v="4"/>
    <n v="2"/>
    <n v="2"/>
    <n v="2"/>
  </r>
  <r>
    <n v="39"/>
    <x v="0"/>
    <s v="Travel_Rarely"/>
    <n v="1122"/>
    <x v="1"/>
    <x v="16"/>
    <n v="3"/>
    <s v="Medical"/>
    <n v="1"/>
    <n v="932"/>
    <n v="4"/>
    <x v="1"/>
    <n v="70"/>
    <n v="3"/>
    <x v="1"/>
    <x v="2"/>
    <n v="1"/>
    <s v="Married"/>
    <n v="2404"/>
    <n v="4303"/>
    <n v="7"/>
    <s v="Y"/>
    <x v="0"/>
    <n v="21"/>
    <n v="4"/>
    <n v="4"/>
    <n v="80"/>
    <n v="0"/>
    <n v="8"/>
    <n v="2"/>
    <n v="1"/>
    <x v="4"/>
    <n v="2"/>
    <n v="2"/>
    <n v="2"/>
  </r>
  <r>
    <n v="27"/>
    <x v="1"/>
    <s v="Travel_Rarely"/>
    <n v="618"/>
    <x v="1"/>
    <x v="18"/>
    <n v="3"/>
    <s v="Life Sciences"/>
    <n v="1"/>
    <n v="933"/>
    <n v="2"/>
    <x v="0"/>
    <n v="76"/>
    <n v="3"/>
    <x v="1"/>
    <x v="1"/>
    <n v="3"/>
    <s v="Single"/>
    <n v="2318"/>
    <n v="17808"/>
    <n v="1"/>
    <s v="Y"/>
    <x v="1"/>
    <n v="19"/>
    <n v="3"/>
    <n v="3"/>
    <n v="80"/>
    <n v="0"/>
    <n v="1"/>
    <n v="2"/>
    <n v="3"/>
    <x v="6"/>
    <n v="1"/>
    <n v="0"/>
    <n v="0"/>
  </r>
  <r>
    <n v="34"/>
    <x v="1"/>
    <s v="Travel_Rarely"/>
    <n v="546"/>
    <x v="1"/>
    <x v="17"/>
    <n v="3"/>
    <s v="Life Sciences"/>
    <n v="1"/>
    <n v="934"/>
    <n v="2"/>
    <x v="1"/>
    <n v="83"/>
    <n v="3"/>
    <x v="1"/>
    <x v="2"/>
    <n v="2"/>
    <s v="Divorced"/>
    <n v="2008"/>
    <n v="6896"/>
    <n v="1"/>
    <s v="Y"/>
    <x v="1"/>
    <n v="14"/>
    <n v="3"/>
    <n v="2"/>
    <n v="80"/>
    <n v="2"/>
    <n v="1"/>
    <n v="3"/>
    <n v="3"/>
    <x v="6"/>
    <n v="0"/>
    <n v="1"/>
    <n v="0"/>
  </r>
  <r>
    <n v="42"/>
    <x v="1"/>
    <s v="Travel_Rarely"/>
    <n v="462"/>
    <x v="0"/>
    <x v="24"/>
    <n v="2"/>
    <s v="Medical"/>
    <n v="1"/>
    <n v="936"/>
    <n v="3"/>
    <x v="0"/>
    <n v="68"/>
    <n v="2"/>
    <x v="0"/>
    <x v="0"/>
    <n v="3"/>
    <s v="Single"/>
    <n v="6244"/>
    <n v="7824"/>
    <n v="7"/>
    <s v="Y"/>
    <x v="1"/>
    <n v="17"/>
    <n v="3"/>
    <n v="1"/>
    <n v="80"/>
    <n v="0"/>
    <n v="10"/>
    <n v="6"/>
    <n v="3"/>
    <x v="8"/>
    <n v="4"/>
    <n v="0"/>
    <n v="3"/>
  </r>
  <r>
    <n v="33"/>
    <x v="1"/>
    <s v="Travel_Rarely"/>
    <n v="1198"/>
    <x v="1"/>
    <x v="0"/>
    <n v="4"/>
    <s v="Other"/>
    <n v="1"/>
    <n v="939"/>
    <n v="3"/>
    <x v="1"/>
    <n v="100"/>
    <n v="2"/>
    <x v="1"/>
    <x v="1"/>
    <n v="1"/>
    <s v="Single"/>
    <n v="2799"/>
    <n v="3339"/>
    <n v="3"/>
    <s v="Y"/>
    <x v="0"/>
    <n v="11"/>
    <n v="3"/>
    <n v="2"/>
    <n v="80"/>
    <n v="0"/>
    <n v="6"/>
    <n v="1"/>
    <n v="3"/>
    <x v="11"/>
    <n v="2"/>
    <n v="0"/>
    <n v="2"/>
  </r>
  <r>
    <n v="58"/>
    <x v="1"/>
    <s v="Travel_Rarely"/>
    <n v="1272"/>
    <x v="1"/>
    <x v="12"/>
    <n v="3"/>
    <s v="Technical Degree"/>
    <n v="1"/>
    <n v="940"/>
    <n v="3"/>
    <x v="0"/>
    <n v="37"/>
    <n v="2"/>
    <x v="2"/>
    <x v="4"/>
    <n v="2"/>
    <s v="Divorced"/>
    <n v="10552"/>
    <n v="9255"/>
    <n v="2"/>
    <s v="Y"/>
    <x v="0"/>
    <n v="13"/>
    <n v="3"/>
    <n v="4"/>
    <n v="80"/>
    <n v="1"/>
    <n v="24"/>
    <n v="3"/>
    <n v="3"/>
    <x v="0"/>
    <n v="0"/>
    <n v="0"/>
    <n v="4"/>
  </r>
  <r>
    <n v="31"/>
    <x v="1"/>
    <s v="Travel_Rarely"/>
    <n v="154"/>
    <x v="0"/>
    <x v="15"/>
    <n v="4"/>
    <s v="Life Sciences"/>
    <n v="1"/>
    <n v="941"/>
    <n v="2"/>
    <x v="1"/>
    <n v="41"/>
    <n v="2"/>
    <x v="1"/>
    <x v="6"/>
    <n v="3"/>
    <s v="Married"/>
    <n v="2329"/>
    <n v="11737"/>
    <n v="3"/>
    <s v="Y"/>
    <x v="1"/>
    <n v="15"/>
    <n v="3"/>
    <n v="2"/>
    <n v="80"/>
    <n v="0"/>
    <n v="13"/>
    <n v="2"/>
    <n v="4"/>
    <x v="5"/>
    <n v="7"/>
    <n v="5"/>
    <n v="2"/>
  </r>
  <r>
    <n v="35"/>
    <x v="1"/>
    <s v="Travel_Rarely"/>
    <n v="1137"/>
    <x v="1"/>
    <x v="11"/>
    <n v="1"/>
    <s v="Life Sciences"/>
    <n v="1"/>
    <n v="942"/>
    <n v="4"/>
    <x v="0"/>
    <n v="51"/>
    <n v="3"/>
    <x v="0"/>
    <x v="4"/>
    <n v="4"/>
    <s v="Married"/>
    <n v="4014"/>
    <n v="19170"/>
    <n v="1"/>
    <s v="Y"/>
    <x v="0"/>
    <n v="25"/>
    <n v="4"/>
    <n v="4"/>
    <n v="80"/>
    <n v="1"/>
    <n v="10"/>
    <n v="2"/>
    <n v="1"/>
    <x v="1"/>
    <n v="6"/>
    <n v="0"/>
    <n v="7"/>
  </r>
  <r>
    <n v="49"/>
    <x v="1"/>
    <s v="Travel_Rarely"/>
    <n v="527"/>
    <x v="1"/>
    <x v="1"/>
    <n v="2"/>
    <s v="Other"/>
    <n v="1"/>
    <n v="944"/>
    <n v="1"/>
    <x v="0"/>
    <n v="51"/>
    <n v="3"/>
    <x v="2"/>
    <x v="2"/>
    <n v="2"/>
    <s v="Married"/>
    <n v="7403"/>
    <n v="22477"/>
    <n v="4"/>
    <s v="Y"/>
    <x v="1"/>
    <n v="11"/>
    <n v="3"/>
    <n v="3"/>
    <n v="80"/>
    <n v="1"/>
    <n v="29"/>
    <n v="3"/>
    <n v="2"/>
    <x v="34"/>
    <n v="9"/>
    <n v="1"/>
    <n v="7"/>
  </r>
  <r>
    <n v="48"/>
    <x v="1"/>
    <s v="Travel_Rarely"/>
    <n v="1469"/>
    <x v="1"/>
    <x v="25"/>
    <n v="4"/>
    <s v="Medical"/>
    <n v="1"/>
    <n v="945"/>
    <n v="4"/>
    <x v="1"/>
    <n v="51"/>
    <n v="3"/>
    <x v="1"/>
    <x v="1"/>
    <n v="3"/>
    <s v="Married"/>
    <n v="2259"/>
    <n v="5543"/>
    <n v="4"/>
    <s v="Y"/>
    <x v="1"/>
    <n v="17"/>
    <n v="3"/>
    <n v="1"/>
    <n v="80"/>
    <n v="2"/>
    <n v="13"/>
    <n v="2"/>
    <n v="2"/>
    <x v="2"/>
    <n v="0"/>
    <n v="0"/>
    <n v="0"/>
  </r>
  <r>
    <n v="31"/>
    <x v="1"/>
    <s v="Non-Travel"/>
    <n v="1188"/>
    <x v="0"/>
    <x v="25"/>
    <n v="2"/>
    <s v="Marketing"/>
    <n v="1"/>
    <n v="947"/>
    <n v="4"/>
    <x v="0"/>
    <n v="45"/>
    <n v="3"/>
    <x v="0"/>
    <x v="0"/>
    <n v="3"/>
    <s v="Married"/>
    <n v="6932"/>
    <n v="24406"/>
    <n v="1"/>
    <s v="Y"/>
    <x v="1"/>
    <n v="13"/>
    <n v="3"/>
    <n v="4"/>
    <n v="80"/>
    <n v="1"/>
    <n v="9"/>
    <n v="2"/>
    <n v="2"/>
    <x v="7"/>
    <n v="8"/>
    <n v="0"/>
    <n v="0"/>
  </r>
  <r>
    <n v="36"/>
    <x v="1"/>
    <s v="Travel_Rarely"/>
    <n v="188"/>
    <x v="1"/>
    <x v="15"/>
    <n v="4"/>
    <s v="Other"/>
    <n v="1"/>
    <n v="949"/>
    <n v="2"/>
    <x v="1"/>
    <n v="65"/>
    <n v="3"/>
    <x v="1"/>
    <x v="1"/>
    <n v="4"/>
    <s v="Single"/>
    <n v="4678"/>
    <n v="23293"/>
    <n v="2"/>
    <s v="Y"/>
    <x v="1"/>
    <n v="18"/>
    <n v="3"/>
    <n v="3"/>
    <n v="80"/>
    <n v="0"/>
    <n v="8"/>
    <n v="6"/>
    <n v="3"/>
    <x v="0"/>
    <n v="2"/>
    <n v="0"/>
    <n v="1"/>
  </r>
  <r>
    <n v="38"/>
    <x v="1"/>
    <s v="Travel_Rarely"/>
    <n v="1333"/>
    <x v="1"/>
    <x v="0"/>
    <n v="3"/>
    <s v="Technical Degree"/>
    <n v="1"/>
    <n v="950"/>
    <n v="4"/>
    <x v="0"/>
    <n v="80"/>
    <n v="3"/>
    <x v="2"/>
    <x v="7"/>
    <n v="1"/>
    <s v="Married"/>
    <n v="13582"/>
    <n v="16292"/>
    <n v="1"/>
    <s v="Y"/>
    <x v="1"/>
    <n v="13"/>
    <n v="3"/>
    <n v="2"/>
    <n v="80"/>
    <n v="1"/>
    <n v="15"/>
    <n v="3"/>
    <n v="3"/>
    <x v="15"/>
    <n v="12"/>
    <n v="5"/>
    <n v="11"/>
  </r>
  <r>
    <n v="32"/>
    <x v="1"/>
    <s v="Non-Travel"/>
    <n v="1184"/>
    <x v="1"/>
    <x v="0"/>
    <n v="3"/>
    <s v="Life Sciences"/>
    <n v="1"/>
    <n v="951"/>
    <n v="3"/>
    <x v="0"/>
    <n v="70"/>
    <n v="2"/>
    <x v="1"/>
    <x v="2"/>
    <n v="2"/>
    <s v="Married"/>
    <n v="2332"/>
    <n v="3974"/>
    <n v="6"/>
    <s v="Y"/>
    <x v="1"/>
    <n v="20"/>
    <n v="4"/>
    <n v="3"/>
    <n v="80"/>
    <n v="0"/>
    <n v="5"/>
    <n v="3"/>
    <n v="3"/>
    <x v="11"/>
    <n v="0"/>
    <n v="0"/>
    <n v="2"/>
  </r>
  <r>
    <n v="25"/>
    <x v="0"/>
    <s v="Travel_Rarely"/>
    <n v="867"/>
    <x v="0"/>
    <x v="10"/>
    <n v="2"/>
    <s v="Marketing"/>
    <n v="1"/>
    <n v="952"/>
    <n v="3"/>
    <x v="1"/>
    <n v="36"/>
    <n v="2"/>
    <x v="1"/>
    <x v="6"/>
    <n v="2"/>
    <s v="Married"/>
    <n v="2413"/>
    <n v="18798"/>
    <n v="1"/>
    <s v="Y"/>
    <x v="0"/>
    <n v="18"/>
    <n v="3"/>
    <n v="3"/>
    <n v="80"/>
    <n v="3"/>
    <n v="1"/>
    <n v="2"/>
    <n v="3"/>
    <x v="6"/>
    <n v="0"/>
    <n v="0"/>
    <n v="0"/>
  </r>
  <r>
    <n v="40"/>
    <x v="1"/>
    <s v="Travel_Rarely"/>
    <n v="658"/>
    <x v="0"/>
    <x v="17"/>
    <n v="4"/>
    <s v="Marketing"/>
    <n v="1"/>
    <n v="954"/>
    <n v="1"/>
    <x v="1"/>
    <n v="67"/>
    <n v="2"/>
    <x v="2"/>
    <x v="0"/>
    <n v="2"/>
    <s v="Divorced"/>
    <n v="9705"/>
    <n v="20652"/>
    <n v="2"/>
    <s v="Y"/>
    <x v="1"/>
    <n v="12"/>
    <n v="3"/>
    <n v="2"/>
    <n v="80"/>
    <n v="1"/>
    <n v="11"/>
    <n v="2"/>
    <n v="2"/>
    <x v="6"/>
    <n v="0"/>
    <n v="0"/>
    <n v="0"/>
  </r>
  <r>
    <n v="26"/>
    <x v="1"/>
    <s v="Travel_Frequently"/>
    <n v="1283"/>
    <x v="0"/>
    <x v="0"/>
    <n v="3"/>
    <s v="Medical"/>
    <n v="1"/>
    <n v="956"/>
    <n v="3"/>
    <x v="1"/>
    <n v="52"/>
    <n v="2"/>
    <x v="0"/>
    <x v="0"/>
    <n v="1"/>
    <s v="Single"/>
    <n v="4294"/>
    <n v="11148"/>
    <n v="1"/>
    <s v="Y"/>
    <x v="1"/>
    <n v="12"/>
    <n v="3"/>
    <n v="2"/>
    <n v="80"/>
    <n v="0"/>
    <n v="7"/>
    <n v="2"/>
    <n v="3"/>
    <x v="5"/>
    <n v="7"/>
    <n v="0"/>
    <n v="7"/>
  </r>
  <r>
    <n v="41"/>
    <x v="1"/>
    <s v="Travel_Rarely"/>
    <n v="263"/>
    <x v="1"/>
    <x v="16"/>
    <n v="3"/>
    <s v="Medical"/>
    <n v="1"/>
    <n v="957"/>
    <n v="4"/>
    <x v="1"/>
    <n v="59"/>
    <n v="3"/>
    <x v="1"/>
    <x v="2"/>
    <n v="1"/>
    <s v="Single"/>
    <n v="4721"/>
    <n v="3119"/>
    <n v="2"/>
    <s v="Y"/>
    <x v="0"/>
    <n v="13"/>
    <n v="3"/>
    <n v="3"/>
    <n v="80"/>
    <n v="0"/>
    <n v="20"/>
    <n v="3"/>
    <n v="3"/>
    <x v="29"/>
    <n v="13"/>
    <n v="2"/>
    <n v="17"/>
  </r>
  <r>
    <n v="36"/>
    <x v="1"/>
    <s v="Travel_Rarely"/>
    <n v="938"/>
    <x v="1"/>
    <x v="2"/>
    <n v="4"/>
    <s v="Medical"/>
    <n v="1"/>
    <n v="958"/>
    <n v="3"/>
    <x v="1"/>
    <n v="79"/>
    <n v="3"/>
    <x v="1"/>
    <x v="2"/>
    <n v="3"/>
    <s v="Single"/>
    <n v="2519"/>
    <n v="12287"/>
    <n v="4"/>
    <s v="Y"/>
    <x v="1"/>
    <n v="21"/>
    <n v="4"/>
    <n v="3"/>
    <n v="80"/>
    <n v="0"/>
    <n v="16"/>
    <n v="6"/>
    <n v="3"/>
    <x v="19"/>
    <n v="8"/>
    <n v="3"/>
    <n v="9"/>
  </r>
  <r>
    <n v="19"/>
    <x v="0"/>
    <s v="Travel_Rarely"/>
    <n v="419"/>
    <x v="0"/>
    <x v="11"/>
    <n v="3"/>
    <s v="Other"/>
    <n v="1"/>
    <n v="959"/>
    <n v="4"/>
    <x v="1"/>
    <n v="37"/>
    <n v="2"/>
    <x v="1"/>
    <x v="6"/>
    <n v="2"/>
    <s v="Single"/>
    <n v="2121"/>
    <n v="9947"/>
    <n v="1"/>
    <s v="Y"/>
    <x v="0"/>
    <n v="13"/>
    <n v="3"/>
    <n v="2"/>
    <n v="80"/>
    <n v="0"/>
    <n v="1"/>
    <n v="3"/>
    <n v="4"/>
    <x v="6"/>
    <n v="0"/>
    <n v="0"/>
    <n v="0"/>
  </r>
  <r>
    <n v="20"/>
    <x v="0"/>
    <s v="Travel_Rarely"/>
    <n v="129"/>
    <x v="1"/>
    <x v="18"/>
    <n v="3"/>
    <s v="Technical Degree"/>
    <n v="1"/>
    <n v="960"/>
    <n v="1"/>
    <x v="1"/>
    <n v="84"/>
    <n v="3"/>
    <x v="1"/>
    <x v="2"/>
    <n v="1"/>
    <s v="Single"/>
    <n v="2973"/>
    <n v="13008"/>
    <n v="1"/>
    <s v="Y"/>
    <x v="1"/>
    <n v="19"/>
    <n v="3"/>
    <n v="2"/>
    <n v="80"/>
    <n v="0"/>
    <n v="1"/>
    <n v="2"/>
    <n v="3"/>
    <x v="6"/>
    <n v="0"/>
    <n v="0"/>
    <n v="0"/>
  </r>
  <r>
    <n v="31"/>
    <x v="1"/>
    <s v="Travel_Rarely"/>
    <n v="616"/>
    <x v="1"/>
    <x v="20"/>
    <n v="3"/>
    <s v="Medical"/>
    <n v="1"/>
    <n v="961"/>
    <n v="4"/>
    <x v="0"/>
    <n v="41"/>
    <n v="3"/>
    <x v="0"/>
    <x v="4"/>
    <n v="4"/>
    <s v="Married"/>
    <n v="5855"/>
    <n v="17369"/>
    <n v="0"/>
    <s v="Y"/>
    <x v="0"/>
    <n v="11"/>
    <n v="3"/>
    <n v="3"/>
    <n v="80"/>
    <n v="2"/>
    <n v="10"/>
    <n v="2"/>
    <n v="1"/>
    <x v="7"/>
    <n v="7"/>
    <n v="8"/>
    <n v="5"/>
  </r>
  <r>
    <n v="40"/>
    <x v="1"/>
    <s v="Travel_Frequently"/>
    <n v="1469"/>
    <x v="1"/>
    <x v="14"/>
    <n v="4"/>
    <s v="Medical"/>
    <n v="1"/>
    <n v="964"/>
    <n v="4"/>
    <x v="1"/>
    <n v="35"/>
    <n v="3"/>
    <x v="1"/>
    <x v="1"/>
    <n v="2"/>
    <s v="Divorced"/>
    <n v="3617"/>
    <n v="25063"/>
    <n v="8"/>
    <s v="Y"/>
    <x v="0"/>
    <n v="14"/>
    <n v="3"/>
    <n v="4"/>
    <n v="80"/>
    <n v="1"/>
    <n v="3"/>
    <n v="2"/>
    <n v="3"/>
    <x v="6"/>
    <n v="1"/>
    <n v="0"/>
    <n v="0"/>
  </r>
  <r>
    <n v="32"/>
    <x v="1"/>
    <s v="Travel_Rarely"/>
    <n v="498"/>
    <x v="1"/>
    <x v="3"/>
    <n v="4"/>
    <s v="Medical"/>
    <n v="1"/>
    <n v="966"/>
    <n v="3"/>
    <x v="0"/>
    <n v="93"/>
    <n v="3"/>
    <x v="0"/>
    <x v="3"/>
    <n v="1"/>
    <s v="Married"/>
    <n v="6725"/>
    <n v="13554"/>
    <n v="1"/>
    <s v="Y"/>
    <x v="1"/>
    <n v="12"/>
    <n v="3"/>
    <n v="3"/>
    <n v="80"/>
    <n v="1"/>
    <n v="8"/>
    <n v="2"/>
    <n v="4"/>
    <x v="3"/>
    <n v="7"/>
    <n v="6"/>
    <n v="3"/>
  </r>
  <r>
    <n v="36"/>
    <x v="0"/>
    <s v="Travel_Rarely"/>
    <n v="530"/>
    <x v="0"/>
    <x v="3"/>
    <n v="1"/>
    <s v="Life Sciences"/>
    <n v="1"/>
    <n v="967"/>
    <n v="3"/>
    <x v="1"/>
    <n v="51"/>
    <n v="2"/>
    <x v="2"/>
    <x v="0"/>
    <n v="4"/>
    <s v="Married"/>
    <n v="10325"/>
    <n v="5518"/>
    <n v="1"/>
    <s v="Y"/>
    <x v="0"/>
    <n v="11"/>
    <n v="3"/>
    <n v="1"/>
    <n v="80"/>
    <n v="1"/>
    <n v="16"/>
    <n v="6"/>
    <n v="3"/>
    <x v="22"/>
    <n v="7"/>
    <n v="3"/>
    <n v="7"/>
  </r>
  <r>
    <n v="33"/>
    <x v="1"/>
    <s v="Travel_Rarely"/>
    <n v="1069"/>
    <x v="1"/>
    <x v="0"/>
    <n v="3"/>
    <s v="Life Sciences"/>
    <n v="1"/>
    <n v="969"/>
    <n v="2"/>
    <x v="0"/>
    <n v="42"/>
    <n v="2"/>
    <x v="0"/>
    <x v="4"/>
    <n v="4"/>
    <s v="Single"/>
    <n v="6949"/>
    <n v="12291"/>
    <n v="0"/>
    <s v="Y"/>
    <x v="1"/>
    <n v="14"/>
    <n v="3"/>
    <n v="1"/>
    <n v="80"/>
    <n v="0"/>
    <n v="6"/>
    <n v="3"/>
    <n v="3"/>
    <x v="8"/>
    <n v="0"/>
    <n v="1"/>
    <n v="4"/>
  </r>
  <r>
    <n v="37"/>
    <x v="0"/>
    <s v="Travel_Rarely"/>
    <n v="625"/>
    <x v="0"/>
    <x v="0"/>
    <n v="4"/>
    <s v="Life Sciences"/>
    <n v="1"/>
    <n v="970"/>
    <n v="1"/>
    <x v="1"/>
    <n v="46"/>
    <n v="2"/>
    <x v="2"/>
    <x v="0"/>
    <n v="3"/>
    <s v="Married"/>
    <n v="10609"/>
    <n v="14922"/>
    <n v="5"/>
    <s v="Y"/>
    <x v="1"/>
    <n v="11"/>
    <n v="3"/>
    <n v="3"/>
    <n v="80"/>
    <n v="0"/>
    <n v="17"/>
    <n v="2"/>
    <n v="1"/>
    <x v="13"/>
    <n v="1"/>
    <n v="11"/>
    <n v="7"/>
  </r>
  <r>
    <n v="45"/>
    <x v="1"/>
    <s v="Non-Travel"/>
    <n v="805"/>
    <x v="1"/>
    <x v="18"/>
    <n v="2"/>
    <s v="Life Sciences"/>
    <n v="1"/>
    <n v="972"/>
    <n v="3"/>
    <x v="1"/>
    <n v="57"/>
    <n v="3"/>
    <x v="0"/>
    <x v="2"/>
    <n v="2"/>
    <s v="Married"/>
    <n v="4447"/>
    <n v="23163"/>
    <n v="1"/>
    <s v="Y"/>
    <x v="1"/>
    <n v="12"/>
    <n v="3"/>
    <n v="2"/>
    <n v="80"/>
    <n v="0"/>
    <n v="9"/>
    <n v="5"/>
    <n v="2"/>
    <x v="7"/>
    <n v="7"/>
    <n v="0"/>
    <n v="8"/>
  </r>
  <r>
    <n v="29"/>
    <x v="1"/>
    <s v="Travel_Frequently"/>
    <n v="1404"/>
    <x v="0"/>
    <x v="25"/>
    <n v="3"/>
    <s v="Technical Degree"/>
    <n v="1"/>
    <n v="974"/>
    <n v="3"/>
    <x v="0"/>
    <n v="84"/>
    <n v="3"/>
    <x v="1"/>
    <x v="6"/>
    <n v="4"/>
    <s v="Married"/>
    <n v="2157"/>
    <n v="18203"/>
    <n v="1"/>
    <s v="Y"/>
    <x v="1"/>
    <n v="15"/>
    <n v="3"/>
    <n v="2"/>
    <n v="80"/>
    <n v="1"/>
    <n v="3"/>
    <n v="5"/>
    <n v="3"/>
    <x v="11"/>
    <n v="1"/>
    <n v="0"/>
    <n v="2"/>
  </r>
  <r>
    <n v="35"/>
    <x v="1"/>
    <s v="Travel_Rarely"/>
    <n v="1219"/>
    <x v="0"/>
    <x v="21"/>
    <n v="3"/>
    <s v="Medical"/>
    <n v="1"/>
    <n v="975"/>
    <n v="3"/>
    <x v="0"/>
    <n v="86"/>
    <n v="3"/>
    <x v="0"/>
    <x v="0"/>
    <n v="3"/>
    <s v="Married"/>
    <n v="4601"/>
    <n v="6179"/>
    <n v="1"/>
    <s v="Y"/>
    <x v="1"/>
    <n v="16"/>
    <n v="3"/>
    <n v="2"/>
    <n v="80"/>
    <n v="0"/>
    <n v="5"/>
    <n v="3"/>
    <n v="3"/>
    <x v="8"/>
    <n v="2"/>
    <n v="1"/>
    <n v="0"/>
  </r>
  <r>
    <n v="52"/>
    <x v="1"/>
    <s v="Travel_Rarely"/>
    <n v="1053"/>
    <x v="1"/>
    <x v="0"/>
    <n v="2"/>
    <s v="Life Sciences"/>
    <n v="1"/>
    <n v="976"/>
    <n v="4"/>
    <x v="1"/>
    <n v="70"/>
    <n v="3"/>
    <x v="3"/>
    <x v="5"/>
    <n v="4"/>
    <s v="Married"/>
    <n v="17099"/>
    <n v="13829"/>
    <n v="2"/>
    <s v="Y"/>
    <x v="1"/>
    <n v="15"/>
    <n v="3"/>
    <n v="2"/>
    <n v="80"/>
    <n v="1"/>
    <n v="26"/>
    <n v="2"/>
    <n v="2"/>
    <x v="7"/>
    <n v="8"/>
    <n v="7"/>
    <n v="8"/>
  </r>
  <r>
    <n v="58"/>
    <x v="0"/>
    <s v="Travel_Rarely"/>
    <n v="289"/>
    <x v="1"/>
    <x v="2"/>
    <n v="3"/>
    <s v="Technical Degree"/>
    <n v="1"/>
    <n v="977"/>
    <n v="4"/>
    <x v="1"/>
    <n v="51"/>
    <n v="3"/>
    <x v="1"/>
    <x v="1"/>
    <n v="3"/>
    <s v="Single"/>
    <n v="2479"/>
    <n v="26227"/>
    <n v="4"/>
    <s v="Y"/>
    <x v="1"/>
    <n v="24"/>
    <n v="4"/>
    <n v="1"/>
    <n v="80"/>
    <n v="0"/>
    <n v="7"/>
    <n v="4"/>
    <n v="3"/>
    <x v="6"/>
    <n v="0"/>
    <n v="0"/>
    <n v="0"/>
  </r>
  <r>
    <n v="53"/>
    <x v="1"/>
    <s v="Travel_Rarely"/>
    <n v="1376"/>
    <x v="0"/>
    <x v="2"/>
    <n v="2"/>
    <s v="Medical"/>
    <n v="1"/>
    <n v="981"/>
    <n v="3"/>
    <x v="1"/>
    <n v="45"/>
    <n v="3"/>
    <x v="3"/>
    <x v="5"/>
    <n v="3"/>
    <s v="Divorced"/>
    <n v="14852"/>
    <n v="13938"/>
    <n v="6"/>
    <s v="Y"/>
    <x v="1"/>
    <n v="13"/>
    <n v="3"/>
    <n v="3"/>
    <n v="80"/>
    <n v="1"/>
    <n v="22"/>
    <n v="3"/>
    <n v="4"/>
    <x v="18"/>
    <n v="13"/>
    <n v="15"/>
    <n v="2"/>
  </r>
  <r>
    <n v="30"/>
    <x v="1"/>
    <s v="Travel_Rarely"/>
    <n v="231"/>
    <x v="0"/>
    <x v="1"/>
    <n v="2"/>
    <s v="Other"/>
    <n v="1"/>
    <n v="982"/>
    <n v="3"/>
    <x v="1"/>
    <n v="62"/>
    <n v="3"/>
    <x v="2"/>
    <x v="0"/>
    <n v="3"/>
    <s v="Divorced"/>
    <n v="7264"/>
    <n v="9977"/>
    <n v="5"/>
    <s v="Y"/>
    <x v="1"/>
    <n v="11"/>
    <n v="3"/>
    <n v="1"/>
    <n v="80"/>
    <n v="1"/>
    <n v="10"/>
    <n v="2"/>
    <n v="4"/>
    <x v="3"/>
    <n v="4"/>
    <n v="7"/>
    <n v="7"/>
  </r>
  <r>
    <n v="38"/>
    <x v="1"/>
    <s v="Non-Travel"/>
    <n v="152"/>
    <x v="0"/>
    <x v="17"/>
    <n v="3"/>
    <s v="Technical Degree"/>
    <n v="1"/>
    <n v="983"/>
    <n v="3"/>
    <x v="0"/>
    <n v="85"/>
    <n v="3"/>
    <x v="0"/>
    <x v="0"/>
    <n v="4"/>
    <s v="Single"/>
    <n v="5666"/>
    <n v="19899"/>
    <n v="1"/>
    <s v="Y"/>
    <x v="0"/>
    <n v="13"/>
    <n v="3"/>
    <n v="2"/>
    <n v="80"/>
    <n v="0"/>
    <n v="6"/>
    <n v="1"/>
    <n v="3"/>
    <x v="8"/>
    <n v="3"/>
    <n v="1"/>
    <n v="3"/>
  </r>
  <r>
    <n v="35"/>
    <x v="1"/>
    <s v="Travel_Rarely"/>
    <n v="882"/>
    <x v="0"/>
    <x v="3"/>
    <n v="4"/>
    <s v="Life Sciences"/>
    <n v="1"/>
    <n v="984"/>
    <n v="4"/>
    <x v="1"/>
    <n v="92"/>
    <n v="3"/>
    <x v="2"/>
    <x v="0"/>
    <n v="4"/>
    <s v="Divorced"/>
    <n v="7823"/>
    <n v="6812"/>
    <n v="6"/>
    <s v="Y"/>
    <x v="1"/>
    <n v="13"/>
    <n v="3"/>
    <n v="2"/>
    <n v="80"/>
    <n v="1"/>
    <n v="12"/>
    <n v="2"/>
    <n v="3"/>
    <x v="1"/>
    <n v="9"/>
    <n v="0"/>
    <n v="8"/>
  </r>
  <r>
    <n v="39"/>
    <x v="1"/>
    <s v="Travel_Rarely"/>
    <n v="903"/>
    <x v="0"/>
    <x v="2"/>
    <n v="5"/>
    <s v="Life Sciences"/>
    <n v="1"/>
    <n v="985"/>
    <n v="1"/>
    <x v="1"/>
    <n v="41"/>
    <n v="4"/>
    <x v="2"/>
    <x v="0"/>
    <n v="3"/>
    <s v="Single"/>
    <n v="7880"/>
    <n v="2560"/>
    <n v="0"/>
    <s v="Y"/>
    <x v="1"/>
    <n v="18"/>
    <n v="3"/>
    <n v="4"/>
    <n v="80"/>
    <n v="0"/>
    <n v="9"/>
    <n v="3"/>
    <n v="3"/>
    <x v="3"/>
    <n v="7"/>
    <n v="0"/>
    <n v="7"/>
  </r>
  <r>
    <n v="40"/>
    <x v="0"/>
    <s v="Non-Travel"/>
    <n v="1479"/>
    <x v="0"/>
    <x v="4"/>
    <n v="3"/>
    <s v="Life Sciences"/>
    <n v="1"/>
    <n v="986"/>
    <n v="2"/>
    <x v="0"/>
    <n v="100"/>
    <n v="4"/>
    <x v="3"/>
    <x v="0"/>
    <n v="2"/>
    <s v="Single"/>
    <n v="13194"/>
    <n v="17071"/>
    <n v="4"/>
    <s v="Y"/>
    <x v="0"/>
    <n v="16"/>
    <n v="3"/>
    <n v="4"/>
    <n v="80"/>
    <n v="0"/>
    <n v="22"/>
    <n v="2"/>
    <n v="2"/>
    <x v="6"/>
    <n v="0"/>
    <n v="0"/>
    <n v="0"/>
  </r>
  <r>
    <n v="47"/>
    <x v="1"/>
    <s v="Travel_Frequently"/>
    <n v="1379"/>
    <x v="1"/>
    <x v="7"/>
    <n v="4"/>
    <s v="Medical"/>
    <n v="1"/>
    <n v="987"/>
    <n v="3"/>
    <x v="1"/>
    <n v="64"/>
    <n v="4"/>
    <x v="0"/>
    <x v="3"/>
    <n v="3"/>
    <s v="Divorced"/>
    <n v="5067"/>
    <n v="6759"/>
    <n v="1"/>
    <s v="Y"/>
    <x v="0"/>
    <n v="19"/>
    <n v="3"/>
    <n v="3"/>
    <n v="80"/>
    <n v="0"/>
    <n v="20"/>
    <n v="3"/>
    <n v="4"/>
    <x v="27"/>
    <n v="10"/>
    <n v="2"/>
    <n v="7"/>
  </r>
  <r>
    <n v="36"/>
    <x v="1"/>
    <s v="Non-Travel"/>
    <n v="1229"/>
    <x v="0"/>
    <x v="1"/>
    <n v="4"/>
    <s v="Technical Degree"/>
    <n v="1"/>
    <n v="990"/>
    <n v="1"/>
    <x v="1"/>
    <n v="84"/>
    <n v="3"/>
    <x v="0"/>
    <x v="0"/>
    <n v="4"/>
    <s v="Divorced"/>
    <n v="5079"/>
    <n v="25952"/>
    <n v="4"/>
    <s v="Y"/>
    <x v="1"/>
    <n v="13"/>
    <n v="3"/>
    <n v="4"/>
    <n v="80"/>
    <n v="2"/>
    <n v="12"/>
    <n v="3"/>
    <n v="3"/>
    <x v="5"/>
    <n v="7"/>
    <n v="0"/>
    <n v="7"/>
  </r>
  <r>
    <n v="31"/>
    <x v="0"/>
    <s v="Non-Travel"/>
    <n v="335"/>
    <x v="1"/>
    <x v="14"/>
    <n v="2"/>
    <s v="Medical"/>
    <n v="1"/>
    <n v="991"/>
    <n v="3"/>
    <x v="1"/>
    <n v="46"/>
    <n v="2"/>
    <x v="1"/>
    <x v="1"/>
    <n v="1"/>
    <s v="Single"/>
    <n v="2321"/>
    <n v="10322"/>
    <n v="0"/>
    <s v="Y"/>
    <x v="0"/>
    <n v="22"/>
    <n v="4"/>
    <n v="1"/>
    <n v="80"/>
    <n v="0"/>
    <n v="4"/>
    <n v="0"/>
    <n v="3"/>
    <x v="11"/>
    <n v="2"/>
    <n v="1"/>
    <n v="2"/>
  </r>
  <r>
    <n v="33"/>
    <x v="1"/>
    <s v="Non-Travel"/>
    <n v="722"/>
    <x v="0"/>
    <x v="27"/>
    <n v="3"/>
    <s v="Life Sciences"/>
    <n v="1"/>
    <n v="992"/>
    <n v="4"/>
    <x v="1"/>
    <n v="38"/>
    <n v="3"/>
    <x v="3"/>
    <x v="5"/>
    <n v="3"/>
    <s v="Single"/>
    <n v="17444"/>
    <n v="20489"/>
    <n v="1"/>
    <s v="Y"/>
    <x v="1"/>
    <n v="11"/>
    <n v="3"/>
    <n v="4"/>
    <n v="80"/>
    <n v="0"/>
    <n v="10"/>
    <n v="2"/>
    <n v="3"/>
    <x v="1"/>
    <n v="8"/>
    <n v="6"/>
    <n v="0"/>
  </r>
  <r>
    <n v="29"/>
    <x v="0"/>
    <s v="Travel_Rarely"/>
    <n v="906"/>
    <x v="1"/>
    <x v="17"/>
    <n v="3"/>
    <s v="Life Sciences"/>
    <n v="1"/>
    <n v="994"/>
    <n v="4"/>
    <x v="0"/>
    <n v="92"/>
    <n v="2"/>
    <x v="1"/>
    <x v="1"/>
    <n v="1"/>
    <s v="Single"/>
    <n v="2404"/>
    <n v="11479"/>
    <n v="6"/>
    <s v="Y"/>
    <x v="0"/>
    <n v="20"/>
    <n v="4"/>
    <n v="3"/>
    <n v="80"/>
    <n v="0"/>
    <n v="3"/>
    <n v="5"/>
    <n v="3"/>
    <x v="2"/>
    <n v="0"/>
    <n v="0"/>
    <n v="0"/>
  </r>
  <r>
    <n v="33"/>
    <x v="1"/>
    <s v="Travel_Rarely"/>
    <n v="461"/>
    <x v="1"/>
    <x v="28"/>
    <n v="1"/>
    <s v="Life Sciences"/>
    <n v="1"/>
    <n v="995"/>
    <n v="2"/>
    <x v="0"/>
    <n v="53"/>
    <n v="3"/>
    <x v="1"/>
    <x v="1"/>
    <n v="4"/>
    <s v="Single"/>
    <n v="3452"/>
    <n v="17241"/>
    <n v="3"/>
    <s v="Y"/>
    <x v="1"/>
    <n v="18"/>
    <n v="3"/>
    <n v="1"/>
    <n v="80"/>
    <n v="0"/>
    <n v="5"/>
    <n v="4"/>
    <n v="3"/>
    <x v="11"/>
    <n v="2"/>
    <n v="0"/>
    <n v="2"/>
  </r>
  <r>
    <n v="45"/>
    <x v="1"/>
    <s v="Travel_Rarely"/>
    <n v="974"/>
    <x v="1"/>
    <x v="0"/>
    <n v="4"/>
    <s v="Medical"/>
    <n v="1"/>
    <n v="996"/>
    <n v="4"/>
    <x v="0"/>
    <n v="91"/>
    <n v="3"/>
    <x v="1"/>
    <x v="2"/>
    <n v="4"/>
    <s v="Divorced"/>
    <n v="2270"/>
    <n v="11005"/>
    <n v="3"/>
    <s v="Y"/>
    <x v="1"/>
    <n v="14"/>
    <n v="3"/>
    <n v="4"/>
    <n v="80"/>
    <n v="2"/>
    <n v="8"/>
    <n v="2"/>
    <n v="3"/>
    <x v="8"/>
    <n v="3"/>
    <n v="0"/>
    <n v="2"/>
  </r>
  <r>
    <n v="50"/>
    <x v="1"/>
    <s v="Travel_Rarely"/>
    <n v="1126"/>
    <x v="1"/>
    <x v="0"/>
    <n v="2"/>
    <s v="Medical"/>
    <n v="1"/>
    <n v="997"/>
    <n v="4"/>
    <x v="1"/>
    <n v="66"/>
    <n v="3"/>
    <x v="3"/>
    <x v="7"/>
    <n v="4"/>
    <s v="Divorced"/>
    <n v="17399"/>
    <n v="6615"/>
    <n v="9"/>
    <s v="Y"/>
    <x v="1"/>
    <n v="22"/>
    <n v="4"/>
    <n v="3"/>
    <n v="80"/>
    <n v="1"/>
    <n v="32"/>
    <n v="1"/>
    <n v="2"/>
    <x v="8"/>
    <n v="4"/>
    <n v="1"/>
    <n v="3"/>
  </r>
  <r>
    <n v="33"/>
    <x v="1"/>
    <s v="Travel_Frequently"/>
    <n v="827"/>
    <x v="1"/>
    <x v="0"/>
    <n v="4"/>
    <s v="Other"/>
    <n v="1"/>
    <n v="998"/>
    <n v="3"/>
    <x v="0"/>
    <n v="84"/>
    <n v="4"/>
    <x v="0"/>
    <x v="4"/>
    <n v="2"/>
    <s v="Married"/>
    <n v="5488"/>
    <n v="20161"/>
    <n v="1"/>
    <s v="Y"/>
    <x v="0"/>
    <n v="13"/>
    <n v="3"/>
    <n v="1"/>
    <n v="80"/>
    <n v="1"/>
    <n v="6"/>
    <n v="2"/>
    <n v="3"/>
    <x v="0"/>
    <n v="5"/>
    <n v="1"/>
    <n v="2"/>
  </r>
  <r>
    <n v="41"/>
    <x v="1"/>
    <s v="Travel_Frequently"/>
    <n v="840"/>
    <x v="1"/>
    <x v="14"/>
    <n v="3"/>
    <s v="Medical"/>
    <n v="1"/>
    <n v="999"/>
    <n v="1"/>
    <x v="1"/>
    <n v="64"/>
    <n v="3"/>
    <x v="4"/>
    <x v="7"/>
    <n v="3"/>
    <s v="Divorced"/>
    <n v="19419"/>
    <n v="3735"/>
    <n v="2"/>
    <s v="Y"/>
    <x v="1"/>
    <n v="17"/>
    <n v="3"/>
    <n v="2"/>
    <n v="80"/>
    <n v="1"/>
    <n v="21"/>
    <n v="2"/>
    <n v="4"/>
    <x v="29"/>
    <n v="16"/>
    <n v="0"/>
    <n v="11"/>
  </r>
  <r>
    <n v="27"/>
    <x v="1"/>
    <s v="Travel_Rarely"/>
    <n v="1134"/>
    <x v="1"/>
    <x v="7"/>
    <n v="4"/>
    <s v="Technical Degree"/>
    <n v="1"/>
    <n v="1001"/>
    <n v="3"/>
    <x v="0"/>
    <n v="37"/>
    <n v="3"/>
    <x v="1"/>
    <x v="2"/>
    <n v="2"/>
    <s v="Married"/>
    <n v="2811"/>
    <n v="12086"/>
    <n v="9"/>
    <s v="Y"/>
    <x v="1"/>
    <n v="14"/>
    <n v="3"/>
    <n v="2"/>
    <n v="80"/>
    <n v="1"/>
    <n v="4"/>
    <n v="2"/>
    <n v="3"/>
    <x v="4"/>
    <n v="2"/>
    <n v="2"/>
    <n v="2"/>
  </r>
  <r>
    <n v="45"/>
    <x v="1"/>
    <s v="Non-Travel"/>
    <n v="248"/>
    <x v="1"/>
    <x v="5"/>
    <n v="2"/>
    <s v="Life Sciences"/>
    <n v="1"/>
    <n v="1002"/>
    <n v="4"/>
    <x v="1"/>
    <n v="42"/>
    <n v="3"/>
    <x v="0"/>
    <x v="2"/>
    <n v="1"/>
    <s v="Married"/>
    <n v="3633"/>
    <n v="14039"/>
    <n v="1"/>
    <s v="Y"/>
    <x v="0"/>
    <n v="15"/>
    <n v="3"/>
    <n v="3"/>
    <n v="80"/>
    <n v="1"/>
    <n v="9"/>
    <n v="2"/>
    <n v="3"/>
    <x v="7"/>
    <n v="8"/>
    <n v="0"/>
    <n v="8"/>
  </r>
  <r>
    <n v="47"/>
    <x v="1"/>
    <s v="Travel_Rarely"/>
    <n v="955"/>
    <x v="0"/>
    <x v="18"/>
    <n v="2"/>
    <s v="Life Sciences"/>
    <n v="1"/>
    <n v="1003"/>
    <n v="4"/>
    <x v="0"/>
    <n v="83"/>
    <n v="3"/>
    <x v="0"/>
    <x v="0"/>
    <n v="4"/>
    <s v="Single"/>
    <n v="4163"/>
    <n v="8571"/>
    <n v="1"/>
    <s v="Y"/>
    <x v="0"/>
    <n v="17"/>
    <n v="3"/>
    <n v="3"/>
    <n v="80"/>
    <n v="0"/>
    <n v="9"/>
    <n v="0"/>
    <n v="3"/>
    <x v="7"/>
    <n v="0"/>
    <n v="0"/>
    <n v="7"/>
  </r>
  <r>
    <n v="30"/>
    <x v="0"/>
    <s v="Travel_Rarely"/>
    <n v="138"/>
    <x v="1"/>
    <x v="23"/>
    <n v="3"/>
    <s v="Life Sciences"/>
    <n v="1"/>
    <n v="1004"/>
    <n v="1"/>
    <x v="0"/>
    <n v="48"/>
    <n v="3"/>
    <x v="1"/>
    <x v="1"/>
    <n v="3"/>
    <s v="Married"/>
    <n v="2132"/>
    <n v="11539"/>
    <n v="4"/>
    <s v="Y"/>
    <x v="0"/>
    <n v="11"/>
    <n v="3"/>
    <n v="2"/>
    <n v="80"/>
    <n v="0"/>
    <n v="7"/>
    <n v="2"/>
    <n v="3"/>
    <x v="8"/>
    <n v="2"/>
    <n v="0"/>
    <n v="1"/>
  </r>
  <r>
    <n v="50"/>
    <x v="1"/>
    <s v="Travel_Rarely"/>
    <n v="939"/>
    <x v="1"/>
    <x v="4"/>
    <n v="3"/>
    <s v="Life Sciences"/>
    <n v="1"/>
    <n v="1005"/>
    <n v="4"/>
    <x v="1"/>
    <n v="95"/>
    <n v="3"/>
    <x v="3"/>
    <x v="3"/>
    <n v="3"/>
    <s v="Married"/>
    <n v="13973"/>
    <n v="4161"/>
    <n v="3"/>
    <s v="Y"/>
    <x v="0"/>
    <n v="18"/>
    <n v="3"/>
    <n v="4"/>
    <n v="80"/>
    <n v="1"/>
    <n v="22"/>
    <n v="2"/>
    <n v="3"/>
    <x v="12"/>
    <n v="11"/>
    <n v="1"/>
    <n v="5"/>
  </r>
  <r>
    <n v="38"/>
    <x v="1"/>
    <s v="Travel_Frequently"/>
    <n v="1391"/>
    <x v="1"/>
    <x v="17"/>
    <n v="1"/>
    <s v="Medical"/>
    <n v="1"/>
    <n v="1006"/>
    <n v="3"/>
    <x v="1"/>
    <n v="66"/>
    <n v="3"/>
    <x v="1"/>
    <x v="1"/>
    <n v="3"/>
    <s v="Married"/>
    <n v="2684"/>
    <n v="12127"/>
    <n v="0"/>
    <s v="Y"/>
    <x v="1"/>
    <n v="17"/>
    <n v="3"/>
    <n v="2"/>
    <n v="80"/>
    <n v="1"/>
    <n v="3"/>
    <n v="0"/>
    <n v="2"/>
    <x v="4"/>
    <n v="1"/>
    <n v="0"/>
    <n v="2"/>
  </r>
  <r>
    <n v="46"/>
    <x v="1"/>
    <s v="Travel_Rarely"/>
    <n v="566"/>
    <x v="1"/>
    <x v="15"/>
    <n v="2"/>
    <s v="Medical"/>
    <n v="1"/>
    <n v="1007"/>
    <n v="4"/>
    <x v="1"/>
    <n v="75"/>
    <n v="3"/>
    <x v="2"/>
    <x v="3"/>
    <n v="3"/>
    <s v="Divorced"/>
    <n v="10845"/>
    <n v="24208"/>
    <n v="6"/>
    <s v="Y"/>
    <x v="1"/>
    <n v="13"/>
    <n v="3"/>
    <n v="2"/>
    <n v="80"/>
    <n v="1"/>
    <n v="13"/>
    <n v="3"/>
    <n v="3"/>
    <x v="3"/>
    <n v="7"/>
    <n v="0"/>
    <n v="7"/>
  </r>
  <r>
    <n v="24"/>
    <x v="1"/>
    <s v="Travel_Rarely"/>
    <n v="1206"/>
    <x v="1"/>
    <x v="27"/>
    <n v="1"/>
    <s v="Medical"/>
    <n v="1"/>
    <n v="1009"/>
    <n v="4"/>
    <x v="0"/>
    <n v="41"/>
    <n v="2"/>
    <x v="0"/>
    <x v="3"/>
    <n v="3"/>
    <s v="Divorced"/>
    <n v="4377"/>
    <n v="24117"/>
    <n v="1"/>
    <s v="Y"/>
    <x v="1"/>
    <n v="15"/>
    <n v="3"/>
    <n v="2"/>
    <n v="80"/>
    <n v="2"/>
    <n v="5"/>
    <n v="6"/>
    <n v="3"/>
    <x v="9"/>
    <n v="2"/>
    <n v="3"/>
    <n v="2"/>
  </r>
  <r>
    <n v="35"/>
    <x v="0"/>
    <s v="Travel_Rarely"/>
    <n v="622"/>
    <x v="1"/>
    <x v="24"/>
    <n v="4"/>
    <s v="Other"/>
    <n v="1"/>
    <n v="1010"/>
    <n v="3"/>
    <x v="1"/>
    <n v="39"/>
    <n v="2"/>
    <x v="1"/>
    <x v="2"/>
    <n v="2"/>
    <s v="Divorced"/>
    <n v="3743"/>
    <n v="10074"/>
    <n v="1"/>
    <s v="Y"/>
    <x v="0"/>
    <n v="24"/>
    <n v="4"/>
    <n v="4"/>
    <n v="80"/>
    <n v="1"/>
    <n v="5"/>
    <n v="2"/>
    <n v="1"/>
    <x v="9"/>
    <n v="2"/>
    <n v="0"/>
    <n v="2"/>
  </r>
  <r>
    <n v="31"/>
    <x v="1"/>
    <s v="Travel_Frequently"/>
    <n v="853"/>
    <x v="1"/>
    <x v="0"/>
    <n v="1"/>
    <s v="Life Sciences"/>
    <n v="1"/>
    <n v="1011"/>
    <n v="3"/>
    <x v="0"/>
    <n v="96"/>
    <n v="3"/>
    <x v="0"/>
    <x v="3"/>
    <n v="1"/>
    <s v="Married"/>
    <n v="4148"/>
    <n v="11275"/>
    <n v="1"/>
    <s v="Y"/>
    <x v="1"/>
    <n v="12"/>
    <n v="3"/>
    <n v="3"/>
    <n v="80"/>
    <n v="1"/>
    <n v="4"/>
    <n v="1"/>
    <n v="3"/>
    <x v="9"/>
    <n v="3"/>
    <n v="0"/>
    <n v="3"/>
  </r>
  <r>
    <n v="18"/>
    <x v="1"/>
    <s v="Non-Travel"/>
    <n v="287"/>
    <x v="1"/>
    <x v="12"/>
    <n v="2"/>
    <s v="Life Sciences"/>
    <n v="1"/>
    <n v="1012"/>
    <n v="2"/>
    <x v="1"/>
    <n v="73"/>
    <n v="3"/>
    <x v="1"/>
    <x v="1"/>
    <n v="4"/>
    <s v="Single"/>
    <n v="1051"/>
    <n v="13493"/>
    <n v="1"/>
    <s v="Y"/>
    <x v="1"/>
    <n v="15"/>
    <n v="3"/>
    <n v="4"/>
    <n v="80"/>
    <n v="0"/>
    <n v="0"/>
    <n v="2"/>
    <n v="3"/>
    <x v="2"/>
    <n v="0"/>
    <n v="0"/>
    <n v="0"/>
  </r>
  <r>
    <n v="54"/>
    <x v="1"/>
    <s v="Travel_Rarely"/>
    <n v="1441"/>
    <x v="1"/>
    <x v="27"/>
    <n v="3"/>
    <s v="Technical Degree"/>
    <n v="1"/>
    <n v="1013"/>
    <n v="3"/>
    <x v="0"/>
    <n v="56"/>
    <n v="3"/>
    <x v="2"/>
    <x v="3"/>
    <n v="3"/>
    <s v="Married"/>
    <n v="10739"/>
    <n v="13943"/>
    <n v="8"/>
    <s v="Y"/>
    <x v="1"/>
    <n v="11"/>
    <n v="3"/>
    <n v="3"/>
    <n v="80"/>
    <n v="1"/>
    <n v="22"/>
    <n v="2"/>
    <n v="3"/>
    <x v="1"/>
    <n v="7"/>
    <n v="0"/>
    <n v="8"/>
  </r>
  <r>
    <n v="35"/>
    <x v="1"/>
    <s v="Travel_Rarely"/>
    <n v="583"/>
    <x v="1"/>
    <x v="19"/>
    <n v="4"/>
    <s v="Medical"/>
    <n v="1"/>
    <n v="1014"/>
    <n v="3"/>
    <x v="0"/>
    <n v="57"/>
    <n v="3"/>
    <x v="2"/>
    <x v="4"/>
    <n v="3"/>
    <s v="Divorced"/>
    <n v="10388"/>
    <n v="6975"/>
    <n v="1"/>
    <s v="Y"/>
    <x v="0"/>
    <n v="11"/>
    <n v="3"/>
    <n v="3"/>
    <n v="80"/>
    <n v="1"/>
    <n v="16"/>
    <n v="3"/>
    <n v="2"/>
    <x v="22"/>
    <n v="10"/>
    <n v="10"/>
    <n v="1"/>
  </r>
  <r>
    <n v="30"/>
    <x v="1"/>
    <s v="Travel_Rarely"/>
    <n v="153"/>
    <x v="1"/>
    <x v="1"/>
    <n v="2"/>
    <s v="Life Sciences"/>
    <n v="1"/>
    <n v="1015"/>
    <n v="2"/>
    <x v="0"/>
    <n v="73"/>
    <n v="4"/>
    <x v="2"/>
    <x v="7"/>
    <n v="1"/>
    <s v="Married"/>
    <n v="11416"/>
    <n v="17802"/>
    <n v="0"/>
    <s v="Y"/>
    <x v="0"/>
    <n v="12"/>
    <n v="3"/>
    <n v="3"/>
    <n v="80"/>
    <n v="3"/>
    <n v="9"/>
    <n v="4"/>
    <n v="2"/>
    <x v="3"/>
    <n v="7"/>
    <n v="1"/>
    <n v="7"/>
  </r>
  <r>
    <n v="20"/>
    <x v="0"/>
    <s v="Travel_Rarely"/>
    <n v="1097"/>
    <x v="1"/>
    <x v="13"/>
    <n v="3"/>
    <s v="Medical"/>
    <n v="1"/>
    <n v="1016"/>
    <n v="4"/>
    <x v="0"/>
    <n v="98"/>
    <n v="2"/>
    <x v="1"/>
    <x v="1"/>
    <n v="1"/>
    <s v="Single"/>
    <n v="2600"/>
    <n v="18275"/>
    <n v="1"/>
    <s v="Y"/>
    <x v="0"/>
    <n v="15"/>
    <n v="3"/>
    <n v="1"/>
    <n v="80"/>
    <n v="0"/>
    <n v="1"/>
    <n v="2"/>
    <n v="3"/>
    <x v="6"/>
    <n v="0"/>
    <n v="0"/>
    <n v="0"/>
  </r>
  <r>
    <n v="30"/>
    <x v="0"/>
    <s v="Travel_Frequently"/>
    <n v="109"/>
    <x v="1"/>
    <x v="12"/>
    <n v="3"/>
    <s v="Medical"/>
    <n v="1"/>
    <n v="1017"/>
    <n v="2"/>
    <x v="0"/>
    <n v="60"/>
    <n v="3"/>
    <x v="1"/>
    <x v="2"/>
    <n v="2"/>
    <s v="Single"/>
    <n v="2422"/>
    <n v="25725"/>
    <n v="0"/>
    <s v="Y"/>
    <x v="1"/>
    <n v="17"/>
    <n v="3"/>
    <n v="1"/>
    <n v="80"/>
    <n v="0"/>
    <n v="4"/>
    <n v="3"/>
    <n v="3"/>
    <x v="11"/>
    <n v="2"/>
    <n v="1"/>
    <n v="2"/>
  </r>
  <r>
    <n v="26"/>
    <x v="1"/>
    <s v="Travel_Rarely"/>
    <n v="1066"/>
    <x v="1"/>
    <x v="2"/>
    <n v="2"/>
    <s v="Medical"/>
    <n v="1"/>
    <n v="1018"/>
    <n v="4"/>
    <x v="1"/>
    <n v="32"/>
    <n v="4"/>
    <x v="0"/>
    <x v="3"/>
    <n v="4"/>
    <s v="Married"/>
    <n v="5472"/>
    <n v="3334"/>
    <n v="1"/>
    <s v="Y"/>
    <x v="1"/>
    <n v="12"/>
    <n v="3"/>
    <n v="2"/>
    <n v="80"/>
    <n v="0"/>
    <n v="8"/>
    <n v="2"/>
    <n v="3"/>
    <x v="3"/>
    <n v="7"/>
    <n v="1"/>
    <n v="3"/>
  </r>
  <r>
    <n v="22"/>
    <x v="1"/>
    <s v="Travel_Rarely"/>
    <n v="217"/>
    <x v="1"/>
    <x v="1"/>
    <n v="1"/>
    <s v="Life Sciences"/>
    <n v="1"/>
    <n v="1019"/>
    <n v="2"/>
    <x v="1"/>
    <n v="94"/>
    <n v="1"/>
    <x v="1"/>
    <x v="2"/>
    <n v="1"/>
    <s v="Married"/>
    <n v="2451"/>
    <n v="6881"/>
    <n v="1"/>
    <s v="Y"/>
    <x v="1"/>
    <n v="15"/>
    <n v="3"/>
    <n v="1"/>
    <n v="80"/>
    <n v="1"/>
    <n v="4"/>
    <n v="3"/>
    <n v="2"/>
    <x v="9"/>
    <n v="3"/>
    <n v="1"/>
    <n v="1"/>
  </r>
  <r>
    <n v="48"/>
    <x v="1"/>
    <s v="Travel_Rarely"/>
    <n v="277"/>
    <x v="1"/>
    <x v="16"/>
    <n v="3"/>
    <s v="Life Sciences"/>
    <n v="1"/>
    <n v="1022"/>
    <n v="1"/>
    <x v="1"/>
    <n v="97"/>
    <n v="2"/>
    <x v="0"/>
    <x v="4"/>
    <n v="3"/>
    <s v="Single"/>
    <n v="4240"/>
    <n v="13119"/>
    <n v="2"/>
    <s v="Y"/>
    <x v="1"/>
    <n v="13"/>
    <n v="3"/>
    <n v="4"/>
    <n v="80"/>
    <n v="0"/>
    <n v="19"/>
    <n v="0"/>
    <n v="3"/>
    <x v="4"/>
    <n v="2"/>
    <n v="2"/>
    <n v="2"/>
  </r>
  <r>
    <n v="48"/>
    <x v="1"/>
    <s v="Travel_Rarely"/>
    <n v="1355"/>
    <x v="1"/>
    <x v="18"/>
    <n v="4"/>
    <s v="Life Sciences"/>
    <n v="1"/>
    <n v="1024"/>
    <n v="3"/>
    <x v="1"/>
    <n v="78"/>
    <n v="2"/>
    <x v="2"/>
    <x v="4"/>
    <n v="3"/>
    <s v="Single"/>
    <n v="10999"/>
    <n v="22245"/>
    <n v="7"/>
    <s v="Y"/>
    <x v="1"/>
    <n v="14"/>
    <n v="3"/>
    <n v="2"/>
    <n v="80"/>
    <n v="0"/>
    <n v="27"/>
    <n v="3"/>
    <n v="3"/>
    <x v="15"/>
    <n v="11"/>
    <n v="4"/>
    <n v="8"/>
  </r>
  <r>
    <n v="41"/>
    <x v="1"/>
    <s v="Travel_Rarely"/>
    <n v="549"/>
    <x v="1"/>
    <x v="15"/>
    <n v="2"/>
    <s v="Medical"/>
    <n v="1"/>
    <n v="1025"/>
    <n v="4"/>
    <x v="0"/>
    <n v="42"/>
    <n v="3"/>
    <x v="0"/>
    <x v="3"/>
    <n v="3"/>
    <s v="Single"/>
    <n v="5003"/>
    <n v="23371"/>
    <n v="6"/>
    <s v="Y"/>
    <x v="1"/>
    <n v="14"/>
    <n v="3"/>
    <n v="2"/>
    <n v="80"/>
    <n v="0"/>
    <n v="8"/>
    <n v="6"/>
    <n v="3"/>
    <x v="4"/>
    <n v="2"/>
    <n v="2"/>
    <n v="1"/>
  </r>
  <r>
    <n v="39"/>
    <x v="1"/>
    <s v="Travel_Rarely"/>
    <n v="466"/>
    <x v="1"/>
    <x v="0"/>
    <n v="1"/>
    <s v="Life Sciences"/>
    <n v="1"/>
    <n v="1026"/>
    <n v="4"/>
    <x v="0"/>
    <n v="65"/>
    <n v="2"/>
    <x v="3"/>
    <x v="3"/>
    <n v="4"/>
    <s v="Married"/>
    <n v="12742"/>
    <n v="7060"/>
    <n v="1"/>
    <s v="Y"/>
    <x v="1"/>
    <n v="16"/>
    <n v="3"/>
    <n v="3"/>
    <n v="80"/>
    <n v="1"/>
    <n v="21"/>
    <n v="3"/>
    <n v="3"/>
    <x v="17"/>
    <n v="6"/>
    <n v="11"/>
    <n v="8"/>
  </r>
  <r>
    <n v="27"/>
    <x v="1"/>
    <s v="Travel_Rarely"/>
    <n v="1055"/>
    <x v="1"/>
    <x v="2"/>
    <n v="4"/>
    <s v="Life Sciences"/>
    <n v="1"/>
    <n v="1027"/>
    <n v="1"/>
    <x v="0"/>
    <n v="47"/>
    <n v="3"/>
    <x v="0"/>
    <x v="3"/>
    <n v="4"/>
    <s v="Married"/>
    <n v="4227"/>
    <n v="4658"/>
    <n v="0"/>
    <s v="Y"/>
    <x v="1"/>
    <n v="18"/>
    <n v="3"/>
    <n v="2"/>
    <n v="80"/>
    <n v="1"/>
    <n v="4"/>
    <n v="2"/>
    <n v="3"/>
    <x v="11"/>
    <n v="2"/>
    <n v="2"/>
    <n v="2"/>
  </r>
  <r>
    <n v="35"/>
    <x v="1"/>
    <s v="Travel_Rarely"/>
    <n v="802"/>
    <x v="1"/>
    <x v="17"/>
    <n v="3"/>
    <s v="Other"/>
    <n v="1"/>
    <n v="1028"/>
    <n v="2"/>
    <x v="1"/>
    <n v="45"/>
    <n v="3"/>
    <x v="1"/>
    <x v="2"/>
    <n v="4"/>
    <s v="Divorced"/>
    <n v="3917"/>
    <n v="9541"/>
    <n v="1"/>
    <s v="Y"/>
    <x v="1"/>
    <n v="20"/>
    <n v="4"/>
    <n v="1"/>
    <n v="80"/>
    <n v="1"/>
    <n v="3"/>
    <n v="4"/>
    <n v="2"/>
    <x v="11"/>
    <n v="2"/>
    <n v="1"/>
    <n v="2"/>
  </r>
  <r>
    <n v="42"/>
    <x v="1"/>
    <s v="Travel_Rarely"/>
    <n v="265"/>
    <x v="0"/>
    <x v="12"/>
    <n v="2"/>
    <s v="Marketing"/>
    <n v="1"/>
    <n v="1029"/>
    <n v="4"/>
    <x v="1"/>
    <n v="90"/>
    <n v="3"/>
    <x v="4"/>
    <x v="5"/>
    <n v="3"/>
    <s v="Married"/>
    <n v="18303"/>
    <n v="7770"/>
    <n v="6"/>
    <s v="Y"/>
    <x v="1"/>
    <n v="13"/>
    <n v="3"/>
    <n v="2"/>
    <n v="80"/>
    <n v="0"/>
    <n v="21"/>
    <n v="3"/>
    <n v="4"/>
    <x v="6"/>
    <n v="0"/>
    <n v="0"/>
    <n v="0"/>
  </r>
  <r>
    <n v="50"/>
    <x v="1"/>
    <s v="Travel_Rarely"/>
    <n v="804"/>
    <x v="1"/>
    <x v="14"/>
    <n v="3"/>
    <s v="Life Sciences"/>
    <n v="1"/>
    <n v="1030"/>
    <n v="1"/>
    <x v="1"/>
    <n v="64"/>
    <n v="3"/>
    <x v="1"/>
    <x v="2"/>
    <n v="4"/>
    <s v="Married"/>
    <n v="2380"/>
    <n v="20165"/>
    <n v="4"/>
    <s v="Y"/>
    <x v="1"/>
    <n v="18"/>
    <n v="3"/>
    <n v="2"/>
    <n v="80"/>
    <n v="0"/>
    <n v="8"/>
    <n v="5"/>
    <n v="3"/>
    <x v="6"/>
    <n v="0"/>
    <n v="0"/>
    <n v="0"/>
  </r>
  <r>
    <n v="59"/>
    <x v="1"/>
    <s v="Travel_Rarely"/>
    <n v="715"/>
    <x v="1"/>
    <x v="2"/>
    <n v="3"/>
    <s v="Life Sciences"/>
    <n v="1"/>
    <n v="1032"/>
    <n v="3"/>
    <x v="0"/>
    <n v="69"/>
    <n v="2"/>
    <x v="3"/>
    <x v="3"/>
    <n v="4"/>
    <s v="Single"/>
    <n v="13726"/>
    <n v="21829"/>
    <n v="3"/>
    <s v="Y"/>
    <x v="0"/>
    <n v="13"/>
    <n v="3"/>
    <n v="1"/>
    <n v="80"/>
    <n v="0"/>
    <n v="30"/>
    <n v="4"/>
    <n v="3"/>
    <x v="8"/>
    <n v="3"/>
    <n v="4"/>
    <n v="3"/>
  </r>
  <r>
    <n v="37"/>
    <x v="0"/>
    <s v="Travel_Rarely"/>
    <n v="1141"/>
    <x v="1"/>
    <x v="13"/>
    <n v="2"/>
    <s v="Medical"/>
    <n v="1"/>
    <n v="1033"/>
    <n v="1"/>
    <x v="0"/>
    <n v="61"/>
    <n v="1"/>
    <x v="0"/>
    <x v="4"/>
    <n v="2"/>
    <s v="Married"/>
    <n v="4777"/>
    <n v="14382"/>
    <n v="5"/>
    <s v="Y"/>
    <x v="1"/>
    <n v="15"/>
    <n v="3"/>
    <n v="1"/>
    <n v="80"/>
    <n v="0"/>
    <n v="15"/>
    <n v="2"/>
    <n v="1"/>
    <x v="6"/>
    <n v="0"/>
    <n v="0"/>
    <n v="0"/>
  </r>
  <r>
    <n v="55"/>
    <x v="1"/>
    <s v="Travel_Frequently"/>
    <n v="135"/>
    <x v="1"/>
    <x v="21"/>
    <n v="4"/>
    <s v="Medical"/>
    <n v="1"/>
    <n v="1034"/>
    <n v="3"/>
    <x v="1"/>
    <n v="62"/>
    <n v="3"/>
    <x v="0"/>
    <x v="4"/>
    <n v="2"/>
    <s v="Married"/>
    <n v="6385"/>
    <n v="12992"/>
    <n v="3"/>
    <s v="Y"/>
    <x v="0"/>
    <n v="14"/>
    <n v="3"/>
    <n v="4"/>
    <n v="80"/>
    <n v="2"/>
    <n v="17"/>
    <n v="3"/>
    <n v="3"/>
    <x v="3"/>
    <n v="7"/>
    <n v="6"/>
    <n v="7"/>
  </r>
  <r>
    <n v="41"/>
    <x v="1"/>
    <s v="Non-Travel"/>
    <n v="247"/>
    <x v="1"/>
    <x v="15"/>
    <n v="1"/>
    <s v="Life Sciences"/>
    <n v="1"/>
    <n v="1035"/>
    <n v="2"/>
    <x v="0"/>
    <n v="55"/>
    <n v="1"/>
    <x v="4"/>
    <x v="7"/>
    <n v="3"/>
    <s v="Divorced"/>
    <n v="19973"/>
    <n v="20284"/>
    <n v="1"/>
    <s v="Y"/>
    <x v="1"/>
    <n v="22"/>
    <n v="4"/>
    <n v="2"/>
    <n v="80"/>
    <n v="2"/>
    <n v="21"/>
    <n v="3"/>
    <n v="3"/>
    <x v="17"/>
    <n v="16"/>
    <n v="5"/>
    <n v="10"/>
  </r>
  <r>
    <n v="38"/>
    <x v="1"/>
    <s v="Travel_Rarely"/>
    <n v="1035"/>
    <x v="0"/>
    <x v="3"/>
    <n v="4"/>
    <s v="Life Sciences"/>
    <n v="1"/>
    <n v="1036"/>
    <n v="2"/>
    <x v="1"/>
    <n v="42"/>
    <n v="3"/>
    <x v="0"/>
    <x v="0"/>
    <n v="4"/>
    <s v="Single"/>
    <n v="6861"/>
    <n v="4981"/>
    <n v="8"/>
    <s v="Y"/>
    <x v="0"/>
    <n v="12"/>
    <n v="3"/>
    <n v="3"/>
    <n v="80"/>
    <n v="0"/>
    <n v="19"/>
    <n v="1"/>
    <n v="3"/>
    <x v="6"/>
    <n v="0"/>
    <n v="0"/>
    <n v="0"/>
  </r>
  <r>
    <n v="26"/>
    <x v="0"/>
    <s v="Non-Travel"/>
    <n v="265"/>
    <x v="0"/>
    <x v="22"/>
    <n v="2"/>
    <s v="Medical"/>
    <n v="1"/>
    <n v="1037"/>
    <n v="2"/>
    <x v="1"/>
    <n v="79"/>
    <n v="1"/>
    <x v="0"/>
    <x v="0"/>
    <n v="1"/>
    <s v="Single"/>
    <n v="4969"/>
    <n v="21813"/>
    <n v="8"/>
    <s v="Y"/>
    <x v="1"/>
    <n v="18"/>
    <n v="3"/>
    <n v="4"/>
    <n v="80"/>
    <n v="0"/>
    <n v="7"/>
    <n v="6"/>
    <n v="3"/>
    <x v="4"/>
    <n v="2"/>
    <n v="2"/>
    <n v="2"/>
  </r>
  <r>
    <n v="52"/>
    <x v="0"/>
    <s v="Travel_Rarely"/>
    <n v="266"/>
    <x v="0"/>
    <x v="2"/>
    <n v="1"/>
    <s v="Marketing"/>
    <n v="1"/>
    <n v="1038"/>
    <n v="1"/>
    <x v="0"/>
    <n v="57"/>
    <n v="1"/>
    <x v="4"/>
    <x v="5"/>
    <n v="4"/>
    <s v="Married"/>
    <n v="19845"/>
    <n v="25846"/>
    <n v="1"/>
    <s v="Y"/>
    <x v="1"/>
    <n v="15"/>
    <n v="3"/>
    <n v="4"/>
    <n v="80"/>
    <n v="1"/>
    <n v="33"/>
    <n v="3"/>
    <n v="3"/>
    <x v="32"/>
    <n v="14"/>
    <n v="6"/>
    <n v="9"/>
  </r>
  <r>
    <n v="44"/>
    <x v="1"/>
    <s v="Travel_Rarely"/>
    <n v="1448"/>
    <x v="0"/>
    <x v="26"/>
    <n v="3"/>
    <s v="Medical"/>
    <n v="1"/>
    <n v="1039"/>
    <n v="4"/>
    <x v="0"/>
    <n v="53"/>
    <n v="4"/>
    <x v="3"/>
    <x v="0"/>
    <n v="4"/>
    <s v="Married"/>
    <n v="13320"/>
    <n v="11737"/>
    <n v="3"/>
    <s v="Y"/>
    <x v="0"/>
    <n v="18"/>
    <n v="3"/>
    <n v="3"/>
    <n v="80"/>
    <n v="1"/>
    <n v="23"/>
    <n v="2"/>
    <n v="3"/>
    <x v="12"/>
    <n v="11"/>
    <n v="11"/>
    <n v="11"/>
  </r>
  <r>
    <n v="50"/>
    <x v="1"/>
    <s v="Non-Travel"/>
    <n v="145"/>
    <x v="0"/>
    <x v="0"/>
    <n v="3"/>
    <s v="Life Sciences"/>
    <n v="1"/>
    <n v="1040"/>
    <n v="4"/>
    <x v="0"/>
    <n v="95"/>
    <n v="3"/>
    <x v="0"/>
    <x v="0"/>
    <n v="3"/>
    <s v="Married"/>
    <n v="6347"/>
    <n v="24920"/>
    <n v="0"/>
    <s v="Y"/>
    <x v="1"/>
    <n v="12"/>
    <n v="3"/>
    <n v="1"/>
    <n v="80"/>
    <n v="1"/>
    <n v="19"/>
    <n v="3"/>
    <n v="3"/>
    <x v="29"/>
    <n v="7"/>
    <n v="0"/>
    <n v="13"/>
  </r>
  <r>
    <n v="36"/>
    <x v="0"/>
    <s v="Travel_Rarely"/>
    <n v="885"/>
    <x v="1"/>
    <x v="7"/>
    <n v="4"/>
    <s v="Life Sciences"/>
    <n v="1"/>
    <n v="1042"/>
    <n v="3"/>
    <x v="0"/>
    <n v="43"/>
    <n v="4"/>
    <x v="1"/>
    <x v="2"/>
    <n v="1"/>
    <s v="Single"/>
    <n v="2743"/>
    <n v="8269"/>
    <n v="1"/>
    <s v="Y"/>
    <x v="1"/>
    <n v="16"/>
    <n v="3"/>
    <n v="3"/>
    <n v="80"/>
    <n v="0"/>
    <n v="18"/>
    <n v="1"/>
    <n v="3"/>
    <x v="18"/>
    <n v="13"/>
    <n v="15"/>
    <n v="14"/>
  </r>
  <r>
    <n v="39"/>
    <x v="1"/>
    <s v="Travel_Frequently"/>
    <n v="945"/>
    <x v="1"/>
    <x v="23"/>
    <n v="3"/>
    <s v="Medical"/>
    <n v="1"/>
    <n v="1043"/>
    <n v="4"/>
    <x v="0"/>
    <n v="82"/>
    <n v="3"/>
    <x v="2"/>
    <x v="3"/>
    <n v="1"/>
    <s v="Single"/>
    <n v="10880"/>
    <n v="5083"/>
    <n v="1"/>
    <s v="Y"/>
    <x v="0"/>
    <n v="13"/>
    <n v="3"/>
    <n v="3"/>
    <n v="80"/>
    <n v="0"/>
    <n v="21"/>
    <n v="2"/>
    <n v="3"/>
    <x v="17"/>
    <n v="6"/>
    <n v="2"/>
    <n v="8"/>
  </r>
  <r>
    <n v="33"/>
    <x v="1"/>
    <s v="Non-Travel"/>
    <n v="1038"/>
    <x v="0"/>
    <x v="1"/>
    <n v="1"/>
    <s v="Life Sciences"/>
    <n v="1"/>
    <n v="1044"/>
    <n v="2"/>
    <x v="0"/>
    <n v="88"/>
    <n v="2"/>
    <x v="1"/>
    <x v="6"/>
    <n v="4"/>
    <s v="Single"/>
    <n v="2342"/>
    <n v="21437"/>
    <n v="0"/>
    <s v="Y"/>
    <x v="1"/>
    <n v="19"/>
    <n v="3"/>
    <n v="4"/>
    <n v="80"/>
    <n v="0"/>
    <n v="3"/>
    <n v="2"/>
    <n v="2"/>
    <x v="4"/>
    <n v="2"/>
    <n v="2"/>
    <n v="2"/>
  </r>
  <r>
    <n v="45"/>
    <x v="1"/>
    <s v="Travel_Rarely"/>
    <n v="1234"/>
    <x v="0"/>
    <x v="13"/>
    <n v="2"/>
    <s v="Life Sciences"/>
    <n v="1"/>
    <n v="1045"/>
    <n v="4"/>
    <x v="0"/>
    <n v="90"/>
    <n v="3"/>
    <x v="3"/>
    <x v="5"/>
    <n v="4"/>
    <s v="Married"/>
    <n v="17650"/>
    <n v="5404"/>
    <n v="3"/>
    <s v="Y"/>
    <x v="1"/>
    <n v="13"/>
    <n v="3"/>
    <n v="2"/>
    <n v="80"/>
    <n v="1"/>
    <n v="26"/>
    <n v="4"/>
    <n v="4"/>
    <x v="7"/>
    <n v="3"/>
    <n v="1"/>
    <n v="1"/>
  </r>
  <r>
    <n v="32"/>
    <x v="1"/>
    <s v="Non-Travel"/>
    <n v="1109"/>
    <x v="1"/>
    <x v="22"/>
    <n v="4"/>
    <s v="Medical"/>
    <n v="1"/>
    <n v="1046"/>
    <n v="4"/>
    <x v="0"/>
    <n v="69"/>
    <n v="3"/>
    <x v="1"/>
    <x v="2"/>
    <n v="3"/>
    <s v="Single"/>
    <n v="4025"/>
    <n v="11135"/>
    <n v="9"/>
    <s v="Y"/>
    <x v="1"/>
    <n v="12"/>
    <n v="3"/>
    <n v="2"/>
    <n v="80"/>
    <n v="0"/>
    <n v="10"/>
    <n v="2"/>
    <n v="3"/>
    <x v="3"/>
    <n v="7"/>
    <n v="7"/>
    <n v="7"/>
  </r>
  <r>
    <n v="34"/>
    <x v="1"/>
    <s v="Travel_Rarely"/>
    <n v="216"/>
    <x v="0"/>
    <x v="0"/>
    <n v="4"/>
    <s v="Marketing"/>
    <n v="1"/>
    <n v="1047"/>
    <n v="2"/>
    <x v="1"/>
    <n v="75"/>
    <n v="4"/>
    <x v="0"/>
    <x v="0"/>
    <n v="4"/>
    <s v="Divorced"/>
    <n v="9725"/>
    <n v="12278"/>
    <n v="0"/>
    <s v="Y"/>
    <x v="1"/>
    <n v="11"/>
    <n v="3"/>
    <n v="4"/>
    <n v="80"/>
    <n v="1"/>
    <n v="16"/>
    <n v="2"/>
    <n v="2"/>
    <x v="15"/>
    <n v="1"/>
    <n v="0"/>
    <n v="9"/>
  </r>
  <r>
    <n v="59"/>
    <x v="1"/>
    <s v="Travel_Rarely"/>
    <n v="1089"/>
    <x v="0"/>
    <x v="0"/>
    <n v="2"/>
    <s v="Technical Degree"/>
    <n v="1"/>
    <n v="1048"/>
    <n v="2"/>
    <x v="1"/>
    <n v="66"/>
    <n v="3"/>
    <x v="2"/>
    <x v="5"/>
    <n v="4"/>
    <s v="Married"/>
    <n v="11904"/>
    <n v="11038"/>
    <n v="3"/>
    <s v="Y"/>
    <x v="0"/>
    <n v="14"/>
    <n v="3"/>
    <n v="3"/>
    <n v="80"/>
    <n v="1"/>
    <n v="14"/>
    <n v="1"/>
    <n v="1"/>
    <x v="0"/>
    <n v="4"/>
    <n v="0"/>
    <n v="4"/>
  </r>
  <r>
    <n v="45"/>
    <x v="1"/>
    <s v="Travel_Rarely"/>
    <n v="788"/>
    <x v="2"/>
    <x v="4"/>
    <n v="4"/>
    <s v="Medical"/>
    <n v="1"/>
    <n v="1049"/>
    <n v="2"/>
    <x v="1"/>
    <n v="36"/>
    <n v="3"/>
    <x v="1"/>
    <x v="8"/>
    <n v="2"/>
    <s v="Single"/>
    <n v="2177"/>
    <n v="8318"/>
    <n v="1"/>
    <s v="Y"/>
    <x v="1"/>
    <n v="16"/>
    <n v="3"/>
    <n v="1"/>
    <n v="80"/>
    <n v="0"/>
    <n v="6"/>
    <n v="3"/>
    <n v="3"/>
    <x v="0"/>
    <n v="3"/>
    <n v="0"/>
    <n v="4"/>
  </r>
  <r>
    <n v="53"/>
    <x v="1"/>
    <s v="Travel_Frequently"/>
    <n v="124"/>
    <x v="0"/>
    <x v="2"/>
    <n v="3"/>
    <s v="Marketing"/>
    <n v="1"/>
    <n v="1050"/>
    <n v="3"/>
    <x v="0"/>
    <n v="38"/>
    <n v="2"/>
    <x v="2"/>
    <x v="0"/>
    <n v="2"/>
    <s v="Married"/>
    <n v="7525"/>
    <n v="23537"/>
    <n v="2"/>
    <s v="Y"/>
    <x v="1"/>
    <n v="12"/>
    <n v="3"/>
    <n v="1"/>
    <n v="80"/>
    <n v="1"/>
    <n v="30"/>
    <n v="2"/>
    <n v="3"/>
    <x v="15"/>
    <n v="7"/>
    <n v="6"/>
    <n v="12"/>
  </r>
  <r>
    <n v="36"/>
    <x v="0"/>
    <s v="Travel_Rarely"/>
    <n v="660"/>
    <x v="1"/>
    <x v="8"/>
    <n v="3"/>
    <s v="Other"/>
    <n v="1"/>
    <n v="1052"/>
    <n v="1"/>
    <x v="1"/>
    <n v="81"/>
    <n v="3"/>
    <x v="0"/>
    <x v="2"/>
    <n v="3"/>
    <s v="Divorced"/>
    <n v="4834"/>
    <n v="7858"/>
    <n v="7"/>
    <s v="Y"/>
    <x v="1"/>
    <n v="14"/>
    <n v="3"/>
    <n v="2"/>
    <n v="80"/>
    <n v="1"/>
    <n v="9"/>
    <n v="3"/>
    <n v="2"/>
    <x v="6"/>
    <n v="0"/>
    <n v="0"/>
    <n v="0"/>
  </r>
  <r>
    <n v="26"/>
    <x v="0"/>
    <s v="Travel_Frequently"/>
    <n v="342"/>
    <x v="1"/>
    <x v="2"/>
    <n v="3"/>
    <s v="Life Sciences"/>
    <n v="1"/>
    <n v="1053"/>
    <n v="1"/>
    <x v="1"/>
    <n v="57"/>
    <n v="3"/>
    <x v="1"/>
    <x v="1"/>
    <n v="1"/>
    <s v="Married"/>
    <n v="2042"/>
    <n v="15346"/>
    <n v="6"/>
    <s v="Y"/>
    <x v="0"/>
    <n v="14"/>
    <n v="3"/>
    <n v="2"/>
    <n v="80"/>
    <n v="1"/>
    <n v="6"/>
    <n v="2"/>
    <n v="3"/>
    <x v="11"/>
    <n v="2"/>
    <n v="1"/>
    <n v="2"/>
  </r>
  <r>
    <n v="34"/>
    <x v="1"/>
    <s v="Travel_Rarely"/>
    <n v="1333"/>
    <x v="0"/>
    <x v="17"/>
    <n v="4"/>
    <s v="Life Sciences"/>
    <n v="1"/>
    <n v="1055"/>
    <n v="3"/>
    <x v="0"/>
    <n v="87"/>
    <n v="3"/>
    <x v="1"/>
    <x v="6"/>
    <n v="3"/>
    <s v="Married"/>
    <n v="2220"/>
    <n v="18410"/>
    <n v="1"/>
    <s v="Y"/>
    <x v="0"/>
    <n v="19"/>
    <n v="3"/>
    <n v="4"/>
    <n v="80"/>
    <n v="1"/>
    <n v="1"/>
    <n v="2"/>
    <n v="3"/>
    <x v="6"/>
    <n v="1"/>
    <n v="0"/>
    <n v="0"/>
  </r>
  <r>
    <n v="28"/>
    <x v="1"/>
    <s v="Travel_Rarely"/>
    <n v="1144"/>
    <x v="0"/>
    <x v="17"/>
    <n v="1"/>
    <s v="Medical"/>
    <n v="1"/>
    <n v="1056"/>
    <n v="4"/>
    <x v="1"/>
    <n v="74"/>
    <n v="3"/>
    <x v="1"/>
    <x v="6"/>
    <n v="2"/>
    <s v="Married"/>
    <n v="1052"/>
    <n v="23384"/>
    <n v="1"/>
    <s v="Y"/>
    <x v="1"/>
    <n v="22"/>
    <n v="4"/>
    <n v="2"/>
    <n v="80"/>
    <n v="0"/>
    <n v="1"/>
    <n v="5"/>
    <n v="3"/>
    <x v="6"/>
    <n v="0"/>
    <n v="0"/>
    <n v="0"/>
  </r>
  <r>
    <n v="38"/>
    <x v="1"/>
    <s v="Travel_Frequently"/>
    <n v="1186"/>
    <x v="1"/>
    <x v="3"/>
    <n v="4"/>
    <s v="Other"/>
    <n v="1"/>
    <n v="1060"/>
    <n v="3"/>
    <x v="1"/>
    <n v="44"/>
    <n v="3"/>
    <x v="1"/>
    <x v="1"/>
    <n v="3"/>
    <s v="Married"/>
    <n v="2821"/>
    <n v="2997"/>
    <n v="3"/>
    <s v="Y"/>
    <x v="1"/>
    <n v="16"/>
    <n v="3"/>
    <n v="1"/>
    <n v="80"/>
    <n v="1"/>
    <n v="8"/>
    <n v="2"/>
    <n v="3"/>
    <x v="4"/>
    <n v="2"/>
    <n v="2"/>
    <n v="2"/>
  </r>
  <r>
    <n v="50"/>
    <x v="1"/>
    <s v="Travel_Rarely"/>
    <n v="1464"/>
    <x v="1"/>
    <x v="2"/>
    <n v="4"/>
    <s v="Medical"/>
    <n v="1"/>
    <n v="1061"/>
    <n v="2"/>
    <x v="1"/>
    <n v="62"/>
    <n v="3"/>
    <x v="4"/>
    <x v="7"/>
    <n v="3"/>
    <s v="Married"/>
    <n v="19237"/>
    <n v="12853"/>
    <n v="2"/>
    <s v="Y"/>
    <x v="0"/>
    <n v="11"/>
    <n v="3"/>
    <n v="4"/>
    <n v="80"/>
    <n v="1"/>
    <n v="29"/>
    <n v="2"/>
    <n v="2"/>
    <x v="3"/>
    <n v="1"/>
    <n v="7"/>
    <n v="7"/>
  </r>
  <r>
    <n v="37"/>
    <x v="1"/>
    <s v="Travel_Rarely"/>
    <n v="124"/>
    <x v="1"/>
    <x v="3"/>
    <n v="3"/>
    <s v="Other"/>
    <n v="1"/>
    <n v="1062"/>
    <n v="4"/>
    <x v="0"/>
    <n v="35"/>
    <n v="3"/>
    <x v="0"/>
    <x v="4"/>
    <n v="2"/>
    <s v="Single"/>
    <n v="4107"/>
    <n v="13848"/>
    <n v="3"/>
    <s v="Y"/>
    <x v="1"/>
    <n v="15"/>
    <n v="3"/>
    <n v="1"/>
    <n v="80"/>
    <n v="0"/>
    <n v="8"/>
    <n v="3"/>
    <n v="2"/>
    <x v="9"/>
    <n v="3"/>
    <n v="0"/>
    <n v="1"/>
  </r>
  <r>
    <n v="40"/>
    <x v="1"/>
    <s v="Travel_Rarely"/>
    <n v="300"/>
    <x v="0"/>
    <x v="9"/>
    <n v="3"/>
    <s v="Marketing"/>
    <n v="1"/>
    <n v="1066"/>
    <n v="3"/>
    <x v="1"/>
    <n v="74"/>
    <n v="3"/>
    <x v="0"/>
    <x v="0"/>
    <n v="1"/>
    <s v="Married"/>
    <n v="8396"/>
    <n v="22217"/>
    <n v="1"/>
    <s v="Y"/>
    <x v="1"/>
    <n v="14"/>
    <n v="3"/>
    <n v="2"/>
    <n v="80"/>
    <n v="1"/>
    <n v="8"/>
    <n v="3"/>
    <n v="2"/>
    <x v="5"/>
    <n v="7"/>
    <n v="7"/>
    <n v="5"/>
  </r>
  <r>
    <n v="26"/>
    <x v="1"/>
    <s v="Travel_Frequently"/>
    <n v="921"/>
    <x v="1"/>
    <x v="0"/>
    <n v="1"/>
    <s v="Medical"/>
    <n v="1"/>
    <n v="1068"/>
    <n v="1"/>
    <x v="0"/>
    <n v="66"/>
    <n v="2"/>
    <x v="1"/>
    <x v="1"/>
    <n v="3"/>
    <s v="Divorced"/>
    <n v="2007"/>
    <n v="25265"/>
    <n v="1"/>
    <s v="Y"/>
    <x v="1"/>
    <n v="13"/>
    <n v="3"/>
    <n v="3"/>
    <n v="80"/>
    <n v="2"/>
    <n v="5"/>
    <n v="5"/>
    <n v="3"/>
    <x v="8"/>
    <n v="3"/>
    <n v="1"/>
    <n v="3"/>
  </r>
  <r>
    <n v="46"/>
    <x v="1"/>
    <s v="Travel_Rarely"/>
    <n v="430"/>
    <x v="1"/>
    <x v="0"/>
    <n v="4"/>
    <s v="Medical"/>
    <n v="1"/>
    <n v="1069"/>
    <n v="4"/>
    <x v="1"/>
    <n v="40"/>
    <n v="3"/>
    <x v="4"/>
    <x v="7"/>
    <n v="4"/>
    <s v="Divorced"/>
    <n v="19627"/>
    <n v="21445"/>
    <n v="9"/>
    <s v="Y"/>
    <x v="1"/>
    <n v="17"/>
    <n v="3"/>
    <n v="4"/>
    <n v="80"/>
    <n v="2"/>
    <n v="23"/>
    <n v="0"/>
    <n v="3"/>
    <x v="4"/>
    <n v="2"/>
    <n v="2"/>
    <n v="2"/>
  </r>
  <r>
    <n v="54"/>
    <x v="1"/>
    <s v="Travel_Rarely"/>
    <n v="1082"/>
    <x v="0"/>
    <x v="2"/>
    <n v="4"/>
    <s v="Life Sciences"/>
    <n v="1"/>
    <n v="1070"/>
    <n v="3"/>
    <x v="0"/>
    <n v="41"/>
    <n v="2"/>
    <x v="2"/>
    <x v="0"/>
    <n v="3"/>
    <s v="Married"/>
    <n v="10686"/>
    <n v="8392"/>
    <n v="6"/>
    <s v="Y"/>
    <x v="1"/>
    <n v="11"/>
    <n v="3"/>
    <n v="2"/>
    <n v="80"/>
    <n v="1"/>
    <n v="13"/>
    <n v="4"/>
    <n v="3"/>
    <x v="7"/>
    <n v="4"/>
    <n v="7"/>
    <n v="0"/>
  </r>
  <r>
    <n v="56"/>
    <x v="1"/>
    <s v="Travel_Frequently"/>
    <n v="1240"/>
    <x v="1"/>
    <x v="14"/>
    <n v="3"/>
    <s v="Medical"/>
    <n v="1"/>
    <n v="1071"/>
    <n v="1"/>
    <x v="0"/>
    <n v="63"/>
    <n v="3"/>
    <x v="1"/>
    <x v="1"/>
    <n v="3"/>
    <s v="Married"/>
    <n v="2942"/>
    <n v="12154"/>
    <n v="2"/>
    <s v="Y"/>
    <x v="1"/>
    <n v="19"/>
    <n v="3"/>
    <n v="2"/>
    <n v="80"/>
    <n v="1"/>
    <n v="18"/>
    <n v="4"/>
    <n v="3"/>
    <x v="8"/>
    <n v="4"/>
    <n v="0"/>
    <n v="3"/>
  </r>
  <r>
    <n v="36"/>
    <x v="1"/>
    <s v="Travel_Rarely"/>
    <n v="796"/>
    <x v="1"/>
    <x v="20"/>
    <n v="5"/>
    <s v="Medical"/>
    <n v="1"/>
    <n v="1073"/>
    <n v="4"/>
    <x v="0"/>
    <n v="51"/>
    <n v="2"/>
    <x v="2"/>
    <x v="3"/>
    <n v="4"/>
    <s v="Single"/>
    <n v="8858"/>
    <n v="15669"/>
    <n v="0"/>
    <s v="Y"/>
    <x v="1"/>
    <n v="11"/>
    <n v="3"/>
    <n v="2"/>
    <n v="80"/>
    <n v="0"/>
    <n v="15"/>
    <n v="2"/>
    <n v="2"/>
    <x v="13"/>
    <n v="8"/>
    <n v="7"/>
    <n v="8"/>
  </r>
  <r>
    <n v="55"/>
    <x v="1"/>
    <s v="Non-Travel"/>
    <n v="444"/>
    <x v="1"/>
    <x v="2"/>
    <n v="1"/>
    <s v="Medical"/>
    <n v="1"/>
    <n v="1074"/>
    <n v="3"/>
    <x v="1"/>
    <n v="40"/>
    <n v="2"/>
    <x v="3"/>
    <x v="5"/>
    <n v="1"/>
    <s v="Single"/>
    <n v="16756"/>
    <n v="17323"/>
    <n v="7"/>
    <s v="Y"/>
    <x v="1"/>
    <n v="15"/>
    <n v="3"/>
    <n v="2"/>
    <n v="80"/>
    <n v="0"/>
    <n v="31"/>
    <n v="3"/>
    <n v="4"/>
    <x v="7"/>
    <n v="7"/>
    <n v="6"/>
    <n v="2"/>
  </r>
  <r>
    <n v="43"/>
    <x v="1"/>
    <s v="Travel_Rarely"/>
    <n v="415"/>
    <x v="0"/>
    <x v="19"/>
    <n v="3"/>
    <s v="Medical"/>
    <n v="1"/>
    <n v="1076"/>
    <n v="3"/>
    <x v="1"/>
    <n v="79"/>
    <n v="2"/>
    <x v="2"/>
    <x v="0"/>
    <n v="4"/>
    <s v="Divorced"/>
    <n v="10798"/>
    <n v="5268"/>
    <n v="5"/>
    <s v="Y"/>
    <x v="1"/>
    <n v="13"/>
    <n v="3"/>
    <n v="3"/>
    <n v="80"/>
    <n v="1"/>
    <n v="18"/>
    <n v="5"/>
    <n v="3"/>
    <x v="6"/>
    <n v="0"/>
    <n v="0"/>
    <n v="0"/>
  </r>
  <r>
    <n v="20"/>
    <x v="0"/>
    <s v="Travel_Frequently"/>
    <n v="769"/>
    <x v="0"/>
    <x v="14"/>
    <n v="3"/>
    <s v="Marketing"/>
    <n v="1"/>
    <n v="1077"/>
    <n v="4"/>
    <x v="0"/>
    <n v="54"/>
    <n v="3"/>
    <x v="1"/>
    <x v="6"/>
    <n v="4"/>
    <s v="Single"/>
    <n v="2323"/>
    <n v="17205"/>
    <n v="1"/>
    <s v="Y"/>
    <x v="0"/>
    <n v="14"/>
    <n v="3"/>
    <n v="2"/>
    <n v="80"/>
    <n v="0"/>
    <n v="2"/>
    <n v="3"/>
    <n v="3"/>
    <x v="4"/>
    <n v="2"/>
    <n v="0"/>
    <n v="2"/>
  </r>
  <r>
    <n v="21"/>
    <x v="0"/>
    <s v="Travel_Rarely"/>
    <n v="1334"/>
    <x v="1"/>
    <x v="17"/>
    <n v="3"/>
    <s v="Life Sciences"/>
    <n v="1"/>
    <n v="1079"/>
    <n v="3"/>
    <x v="0"/>
    <n v="36"/>
    <n v="2"/>
    <x v="1"/>
    <x v="2"/>
    <n v="1"/>
    <s v="Single"/>
    <n v="1416"/>
    <n v="17258"/>
    <n v="1"/>
    <s v="Y"/>
    <x v="1"/>
    <n v="13"/>
    <n v="3"/>
    <n v="1"/>
    <n v="80"/>
    <n v="0"/>
    <n v="1"/>
    <n v="6"/>
    <n v="2"/>
    <x v="6"/>
    <n v="0"/>
    <n v="1"/>
    <n v="0"/>
  </r>
  <r>
    <n v="46"/>
    <x v="1"/>
    <s v="Travel_Rarely"/>
    <n v="1003"/>
    <x v="1"/>
    <x v="1"/>
    <n v="4"/>
    <s v="Life Sciences"/>
    <n v="1"/>
    <n v="1080"/>
    <n v="4"/>
    <x v="0"/>
    <n v="74"/>
    <n v="2"/>
    <x v="0"/>
    <x v="1"/>
    <n v="1"/>
    <s v="Divorced"/>
    <n v="4615"/>
    <n v="21029"/>
    <n v="8"/>
    <s v="Y"/>
    <x v="0"/>
    <n v="23"/>
    <n v="4"/>
    <n v="1"/>
    <n v="80"/>
    <n v="3"/>
    <n v="19"/>
    <n v="2"/>
    <n v="3"/>
    <x v="22"/>
    <n v="13"/>
    <n v="1"/>
    <n v="7"/>
  </r>
  <r>
    <n v="51"/>
    <x v="0"/>
    <s v="Travel_Rarely"/>
    <n v="1323"/>
    <x v="1"/>
    <x v="18"/>
    <n v="4"/>
    <s v="Life Sciences"/>
    <n v="1"/>
    <n v="1081"/>
    <n v="1"/>
    <x v="1"/>
    <n v="34"/>
    <n v="3"/>
    <x v="1"/>
    <x v="1"/>
    <n v="3"/>
    <s v="Married"/>
    <n v="2461"/>
    <n v="10332"/>
    <n v="9"/>
    <s v="Y"/>
    <x v="0"/>
    <n v="12"/>
    <n v="3"/>
    <n v="3"/>
    <n v="80"/>
    <n v="3"/>
    <n v="18"/>
    <n v="2"/>
    <n v="4"/>
    <x v="1"/>
    <n v="0"/>
    <n v="2"/>
    <n v="7"/>
  </r>
  <r>
    <n v="28"/>
    <x v="0"/>
    <s v="Non-Travel"/>
    <n v="1366"/>
    <x v="1"/>
    <x v="4"/>
    <n v="2"/>
    <s v="Technical Degree"/>
    <n v="1"/>
    <n v="1082"/>
    <n v="2"/>
    <x v="1"/>
    <n v="72"/>
    <n v="2"/>
    <x v="2"/>
    <x v="4"/>
    <n v="1"/>
    <s v="Single"/>
    <n v="8722"/>
    <n v="12355"/>
    <n v="1"/>
    <s v="Y"/>
    <x v="1"/>
    <n v="12"/>
    <n v="3"/>
    <n v="1"/>
    <n v="80"/>
    <n v="0"/>
    <n v="10"/>
    <n v="2"/>
    <n v="2"/>
    <x v="1"/>
    <n v="7"/>
    <n v="1"/>
    <n v="9"/>
  </r>
  <r>
    <n v="26"/>
    <x v="1"/>
    <s v="Travel_Rarely"/>
    <n v="192"/>
    <x v="1"/>
    <x v="0"/>
    <n v="2"/>
    <s v="Medical"/>
    <n v="1"/>
    <n v="1083"/>
    <n v="1"/>
    <x v="1"/>
    <n v="59"/>
    <n v="2"/>
    <x v="1"/>
    <x v="2"/>
    <n v="1"/>
    <s v="Married"/>
    <n v="3955"/>
    <n v="11141"/>
    <n v="1"/>
    <s v="Y"/>
    <x v="1"/>
    <n v="16"/>
    <n v="3"/>
    <n v="1"/>
    <n v="80"/>
    <n v="2"/>
    <n v="6"/>
    <n v="2"/>
    <n v="3"/>
    <x v="8"/>
    <n v="3"/>
    <n v="1"/>
    <n v="3"/>
  </r>
  <r>
    <n v="30"/>
    <x v="1"/>
    <s v="Travel_Rarely"/>
    <n v="1176"/>
    <x v="1"/>
    <x v="25"/>
    <n v="3"/>
    <s v="Other"/>
    <n v="1"/>
    <n v="1084"/>
    <n v="3"/>
    <x v="1"/>
    <n v="85"/>
    <n v="3"/>
    <x v="0"/>
    <x v="3"/>
    <n v="1"/>
    <s v="Married"/>
    <n v="9957"/>
    <n v="9096"/>
    <n v="0"/>
    <s v="Y"/>
    <x v="1"/>
    <n v="15"/>
    <n v="3"/>
    <n v="3"/>
    <n v="80"/>
    <n v="1"/>
    <n v="7"/>
    <n v="1"/>
    <n v="2"/>
    <x v="0"/>
    <n v="2"/>
    <n v="0"/>
    <n v="2"/>
  </r>
  <r>
    <n v="41"/>
    <x v="1"/>
    <s v="Travel_Rarely"/>
    <n v="509"/>
    <x v="1"/>
    <x v="15"/>
    <n v="2"/>
    <s v="Technical Degree"/>
    <n v="1"/>
    <n v="1085"/>
    <n v="2"/>
    <x v="0"/>
    <n v="43"/>
    <n v="4"/>
    <x v="1"/>
    <x v="1"/>
    <n v="3"/>
    <s v="Married"/>
    <n v="3376"/>
    <n v="18863"/>
    <n v="1"/>
    <s v="Y"/>
    <x v="1"/>
    <n v="13"/>
    <n v="3"/>
    <n v="3"/>
    <n v="80"/>
    <n v="0"/>
    <n v="10"/>
    <n v="3"/>
    <n v="3"/>
    <x v="1"/>
    <n v="6"/>
    <n v="0"/>
    <n v="8"/>
  </r>
  <r>
    <n v="38"/>
    <x v="1"/>
    <s v="Travel_Rarely"/>
    <n v="330"/>
    <x v="1"/>
    <x v="27"/>
    <n v="1"/>
    <s v="Life Sciences"/>
    <n v="1"/>
    <n v="1088"/>
    <n v="3"/>
    <x v="0"/>
    <n v="65"/>
    <n v="2"/>
    <x v="2"/>
    <x v="4"/>
    <n v="3"/>
    <s v="Married"/>
    <n v="8823"/>
    <n v="24608"/>
    <n v="0"/>
    <s v="Y"/>
    <x v="1"/>
    <n v="18"/>
    <n v="3"/>
    <n v="1"/>
    <n v="80"/>
    <n v="1"/>
    <n v="20"/>
    <n v="4"/>
    <n v="2"/>
    <x v="27"/>
    <n v="9"/>
    <n v="1"/>
    <n v="9"/>
  </r>
  <r>
    <n v="40"/>
    <x v="1"/>
    <s v="Travel_Rarely"/>
    <n v="1492"/>
    <x v="1"/>
    <x v="25"/>
    <n v="4"/>
    <s v="Technical Degree"/>
    <n v="1"/>
    <n v="1092"/>
    <n v="1"/>
    <x v="1"/>
    <n v="61"/>
    <n v="3"/>
    <x v="2"/>
    <x v="4"/>
    <n v="4"/>
    <s v="Married"/>
    <n v="10322"/>
    <n v="26542"/>
    <n v="4"/>
    <s v="Y"/>
    <x v="1"/>
    <n v="20"/>
    <n v="4"/>
    <n v="4"/>
    <n v="80"/>
    <n v="1"/>
    <n v="14"/>
    <n v="6"/>
    <n v="3"/>
    <x v="19"/>
    <n v="10"/>
    <n v="11"/>
    <n v="1"/>
  </r>
  <r>
    <n v="27"/>
    <x v="1"/>
    <s v="Non-Travel"/>
    <n v="1277"/>
    <x v="1"/>
    <x v="1"/>
    <n v="5"/>
    <s v="Life Sciences"/>
    <n v="1"/>
    <n v="1094"/>
    <n v="1"/>
    <x v="1"/>
    <n v="87"/>
    <n v="1"/>
    <x v="1"/>
    <x v="2"/>
    <n v="3"/>
    <s v="Married"/>
    <n v="4621"/>
    <n v="5869"/>
    <n v="1"/>
    <s v="Y"/>
    <x v="1"/>
    <n v="19"/>
    <n v="3"/>
    <n v="4"/>
    <n v="80"/>
    <n v="3"/>
    <n v="3"/>
    <n v="4"/>
    <n v="3"/>
    <x v="11"/>
    <n v="2"/>
    <n v="1"/>
    <n v="2"/>
  </r>
  <r>
    <n v="55"/>
    <x v="1"/>
    <s v="Travel_Frequently"/>
    <n v="1091"/>
    <x v="1"/>
    <x v="2"/>
    <n v="1"/>
    <s v="Life Sciences"/>
    <n v="1"/>
    <n v="1096"/>
    <n v="4"/>
    <x v="1"/>
    <n v="65"/>
    <n v="3"/>
    <x v="2"/>
    <x v="3"/>
    <n v="2"/>
    <s v="Married"/>
    <n v="10976"/>
    <n v="15813"/>
    <n v="3"/>
    <s v="Y"/>
    <x v="1"/>
    <n v="18"/>
    <n v="3"/>
    <n v="2"/>
    <n v="80"/>
    <n v="1"/>
    <n v="23"/>
    <n v="4"/>
    <n v="3"/>
    <x v="11"/>
    <n v="2"/>
    <n v="1"/>
    <n v="2"/>
  </r>
  <r>
    <n v="28"/>
    <x v="1"/>
    <s v="Travel_Rarely"/>
    <n v="857"/>
    <x v="1"/>
    <x v="17"/>
    <n v="3"/>
    <s v="Other"/>
    <n v="1"/>
    <n v="1097"/>
    <n v="3"/>
    <x v="0"/>
    <n v="59"/>
    <n v="3"/>
    <x v="0"/>
    <x v="1"/>
    <n v="3"/>
    <s v="Single"/>
    <n v="3660"/>
    <n v="7909"/>
    <n v="3"/>
    <s v="Y"/>
    <x v="1"/>
    <n v="13"/>
    <n v="3"/>
    <n v="4"/>
    <n v="80"/>
    <n v="0"/>
    <n v="10"/>
    <n v="4"/>
    <n v="4"/>
    <x v="3"/>
    <n v="7"/>
    <n v="1"/>
    <n v="7"/>
  </r>
  <r>
    <n v="44"/>
    <x v="0"/>
    <s v="Travel_Rarely"/>
    <n v="1376"/>
    <x v="2"/>
    <x v="0"/>
    <n v="2"/>
    <s v="Medical"/>
    <n v="1"/>
    <n v="1098"/>
    <n v="2"/>
    <x v="1"/>
    <n v="91"/>
    <n v="2"/>
    <x v="2"/>
    <x v="8"/>
    <n v="1"/>
    <s v="Married"/>
    <n v="10482"/>
    <n v="2326"/>
    <n v="9"/>
    <s v="Y"/>
    <x v="1"/>
    <n v="14"/>
    <n v="3"/>
    <n v="4"/>
    <n v="80"/>
    <n v="1"/>
    <n v="24"/>
    <n v="1"/>
    <n v="3"/>
    <x v="23"/>
    <n v="6"/>
    <n v="3"/>
    <n v="6"/>
  </r>
  <r>
    <n v="33"/>
    <x v="1"/>
    <s v="Travel_Rarely"/>
    <n v="654"/>
    <x v="1"/>
    <x v="12"/>
    <n v="3"/>
    <s v="Life Sciences"/>
    <n v="1"/>
    <n v="1099"/>
    <n v="4"/>
    <x v="1"/>
    <n v="34"/>
    <n v="2"/>
    <x v="2"/>
    <x v="4"/>
    <n v="4"/>
    <s v="Divorced"/>
    <n v="7119"/>
    <n v="21214"/>
    <n v="4"/>
    <s v="Y"/>
    <x v="1"/>
    <n v="15"/>
    <n v="3"/>
    <n v="3"/>
    <n v="80"/>
    <n v="1"/>
    <n v="9"/>
    <n v="2"/>
    <n v="3"/>
    <x v="11"/>
    <n v="2"/>
    <n v="1"/>
    <n v="2"/>
  </r>
  <r>
    <n v="35"/>
    <x v="0"/>
    <s v="Travel_Rarely"/>
    <n v="1204"/>
    <x v="0"/>
    <x v="18"/>
    <n v="3"/>
    <s v="Technical Degree"/>
    <n v="1"/>
    <n v="1100"/>
    <n v="4"/>
    <x v="1"/>
    <n v="86"/>
    <n v="3"/>
    <x v="2"/>
    <x v="0"/>
    <n v="1"/>
    <s v="Single"/>
    <n v="9582"/>
    <n v="10333"/>
    <n v="0"/>
    <s v="Y"/>
    <x v="0"/>
    <n v="22"/>
    <n v="4"/>
    <n v="1"/>
    <n v="80"/>
    <n v="0"/>
    <n v="9"/>
    <n v="2"/>
    <n v="3"/>
    <x v="3"/>
    <n v="7"/>
    <n v="4"/>
    <n v="7"/>
  </r>
  <r>
    <n v="33"/>
    <x v="0"/>
    <s v="Travel_Frequently"/>
    <n v="827"/>
    <x v="1"/>
    <x v="22"/>
    <n v="4"/>
    <s v="Medical"/>
    <n v="1"/>
    <n v="1101"/>
    <n v="1"/>
    <x v="0"/>
    <n v="54"/>
    <n v="2"/>
    <x v="0"/>
    <x v="1"/>
    <n v="3"/>
    <s v="Single"/>
    <n v="4508"/>
    <n v="3129"/>
    <n v="1"/>
    <s v="Y"/>
    <x v="1"/>
    <n v="22"/>
    <n v="4"/>
    <n v="2"/>
    <n v="80"/>
    <n v="0"/>
    <n v="14"/>
    <n v="4"/>
    <n v="3"/>
    <x v="20"/>
    <n v="7"/>
    <n v="3"/>
    <n v="8"/>
  </r>
  <r>
    <n v="28"/>
    <x v="1"/>
    <s v="Travel_Rarely"/>
    <n v="895"/>
    <x v="1"/>
    <x v="8"/>
    <n v="2"/>
    <s v="Life Sciences"/>
    <n v="1"/>
    <n v="1102"/>
    <n v="1"/>
    <x v="1"/>
    <n v="50"/>
    <n v="3"/>
    <x v="1"/>
    <x v="2"/>
    <n v="3"/>
    <s v="Divorced"/>
    <n v="2207"/>
    <n v="22482"/>
    <n v="1"/>
    <s v="Y"/>
    <x v="1"/>
    <n v="16"/>
    <n v="3"/>
    <n v="4"/>
    <n v="80"/>
    <n v="1"/>
    <n v="4"/>
    <n v="5"/>
    <n v="2"/>
    <x v="9"/>
    <n v="2"/>
    <n v="2"/>
    <n v="2"/>
  </r>
  <r>
    <n v="34"/>
    <x v="1"/>
    <s v="Travel_Frequently"/>
    <n v="618"/>
    <x v="1"/>
    <x v="3"/>
    <n v="1"/>
    <s v="Life Sciences"/>
    <n v="1"/>
    <n v="1103"/>
    <n v="1"/>
    <x v="1"/>
    <n v="45"/>
    <n v="3"/>
    <x v="0"/>
    <x v="4"/>
    <n v="4"/>
    <s v="Single"/>
    <n v="7756"/>
    <n v="22266"/>
    <n v="0"/>
    <s v="Y"/>
    <x v="1"/>
    <n v="17"/>
    <n v="3"/>
    <n v="3"/>
    <n v="80"/>
    <n v="0"/>
    <n v="7"/>
    <n v="1"/>
    <n v="2"/>
    <x v="0"/>
    <n v="2"/>
    <n v="0"/>
    <n v="4"/>
  </r>
  <r>
    <n v="37"/>
    <x v="1"/>
    <s v="Travel_Rarely"/>
    <n v="309"/>
    <x v="0"/>
    <x v="17"/>
    <n v="4"/>
    <s v="Life Sciences"/>
    <n v="1"/>
    <n v="1105"/>
    <n v="4"/>
    <x v="0"/>
    <n v="88"/>
    <n v="2"/>
    <x v="0"/>
    <x v="0"/>
    <n v="4"/>
    <s v="Divorced"/>
    <n v="6694"/>
    <n v="24223"/>
    <n v="2"/>
    <s v="Y"/>
    <x v="0"/>
    <n v="14"/>
    <n v="3"/>
    <n v="3"/>
    <n v="80"/>
    <n v="3"/>
    <n v="8"/>
    <n v="5"/>
    <n v="3"/>
    <x v="6"/>
    <n v="0"/>
    <n v="0"/>
    <n v="0"/>
  </r>
  <r>
    <n v="25"/>
    <x v="0"/>
    <s v="Travel_Rarely"/>
    <n v="1219"/>
    <x v="1"/>
    <x v="18"/>
    <n v="1"/>
    <s v="Technical Degree"/>
    <n v="1"/>
    <n v="1106"/>
    <n v="4"/>
    <x v="1"/>
    <n v="32"/>
    <n v="3"/>
    <x v="1"/>
    <x v="2"/>
    <n v="4"/>
    <s v="Married"/>
    <n v="3691"/>
    <n v="4605"/>
    <n v="1"/>
    <s v="Y"/>
    <x v="0"/>
    <n v="15"/>
    <n v="3"/>
    <n v="2"/>
    <n v="80"/>
    <n v="1"/>
    <n v="7"/>
    <n v="3"/>
    <n v="4"/>
    <x v="5"/>
    <n v="7"/>
    <n v="5"/>
    <n v="6"/>
  </r>
  <r>
    <n v="26"/>
    <x v="0"/>
    <s v="Travel_Rarely"/>
    <n v="1330"/>
    <x v="1"/>
    <x v="11"/>
    <n v="3"/>
    <s v="Medical"/>
    <n v="1"/>
    <n v="1107"/>
    <n v="1"/>
    <x v="1"/>
    <n v="37"/>
    <n v="3"/>
    <x v="1"/>
    <x v="2"/>
    <n v="3"/>
    <s v="Divorced"/>
    <n v="2377"/>
    <n v="19373"/>
    <n v="1"/>
    <s v="Y"/>
    <x v="1"/>
    <n v="20"/>
    <n v="4"/>
    <n v="3"/>
    <n v="80"/>
    <n v="1"/>
    <n v="1"/>
    <n v="0"/>
    <n v="2"/>
    <x v="6"/>
    <n v="1"/>
    <n v="0"/>
    <n v="0"/>
  </r>
  <r>
    <n v="33"/>
    <x v="0"/>
    <s v="Travel_Rarely"/>
    <n v="1017"/>
    <x v="1"/>
    <x v="19"/>
    <n v="3"/>
    <s v="Medical"/>
    <n v="1"/>
    <n v="1108"/>
    <n v="1"/>
    <x v="1"/>
    <n v="55"/>
    <n v="2"/>
    <x v="1"/>
    <x v="1"/>
    <n v="2"/>
    <s v="Single"/>
    <n v="2313"/>
    <n v="2993"/>
    <n v="4"/>
    <s v="Y"/>
    <x v="0"/>
    <n v="20"/>
    <n v="4"/>
    <n v="2"/>
    <n v="80"/>
    <n v="0"/>
    <n v="5"/>
    <n v="0"/>
    <n v="3"/>
    <x v="4"/>
    <n v="2"/>
    <n v="2"/>
    <n v="2"/>
  </r>
  <r>
    <n v="42"/>
    <x v="1"/>
    <s v="Travel_Rarely"/>
    <n v="469"/>
    <x v="1"/>
    <x v="2"/>
    <n v="2"/>
    <s v="Medical"/>
    <n v="1"/>
    <n v="1109"/>
    <n v="4"/>
    <x v="1"/>
    <n v="35"/>
    <n v="3"/>
    <x v="3"/>
    <x v="5"/>
    <n v="1"/>
    <s v="Married"/>
    <n v="17665"/>
    <n v="14399"/>
    <n v="0"/>
    <s v="Y"/>
    <x v="1"/>
    <n v="17"/>
    <n v="3"/>
    <n v="4"/>
    <n v="80"/>
    <n v="1"/>
    <n v="23"/>
    <n v="3"/>
    <n v="3"/>
    <x v="14"/>
    <n v="6"/>
    <n v="13"/>
    <n v="7"/>
  </r>
  <r>
    <n v="28"/>
    <x v="0"/>
    <s v="Travel_Frequently"/>
    <n v="1009"/>
    <x v="1"/>
    <x v="0"/>
    <n v="3"/>
    <s v="Medical"/>
    <n v="1"/>
    <n v="1111"/>
    <n v="1"/>
    <x v="1"/>
    <n v="45"/>
    <n v="2"/>
    <x v="1"/>
    <x v="2"/>
    <n v="2"/>
    <s v="Divorced"/>
    <n v="2596"/>
    <n v="7160"/>
    <n v="1"/>
    <s v="Y"/>
    <x v="1"/>
    <n v="15"/>
    <n v="3"/>
    <n v="1"/>
    <n v="80"/>
    <n v="2"/>
    <n v="1"/>
    <n v="2"/>
    <n v="3"/>
    <x v="6"/>
    <n v="0"/>
    <n v="0"/>
    <n v="0"/>
  </r>
  <r>
    <n v="50"/>
    <x v="0"/>
    <s v="Travel_Frequently"/>
    <n v="959"/>
    <x v="0"/>
    <x v="0"/>
    <n v="4"/>
    <s v="Other"/>
    <n v="1"/>
    <n v="1113"/>
    <n v="4"/>
    <x v="1"/>
    <n v="81"/>
    <n v="3"/>
    <x v="0"/>
    <x v="0"/>
    <n v="3"/>
    <s v="Single"/>
    <n v="4728"/>
    <n v="17251"/>
    <n v="3"/>
    <s v="Y"/>
    <x v="0"/>
    <n v="14"/>
    <n v="3"/>
    <n v="4"/>
    <n v="80"/>
    <n v="0"/>
    <n v="5"/>
    <n v="4"/>
    <n v="3"/>
    <x v="2"/>
    <n v="0"/>
    <n v="0"/>
    <n v="0"/>
  </r>
  <r>
    <n v="33"/>
    <x v="1"/>
    <s v="Travel_Frequently"/>
    <n v="970"/>
    <x v="0"/>
    <x v="15"/>
    <n v="3"/>
    <s v="Life Sciences"/>
    <n v="1"/>
    <n v="1114"/>
    <n v="4"/>
    <x v="0"/>
    <n v="30"/>
    <n v="3"/>
    <x v="0"/>
    <x v="0"/>
    <n v="2"/>
    <s v="Married"/>
    <n v="4302"/>
    <n v="13401"/>
    <n v="0"/>
    <s v="Y"/>
    <x v="1"/>
    <n v="17"/>
    <n v="3"/>
    <n v="3"/>
    <n v="80"/>
    <n v="1"/>
    <n v="4"/>
    <n v="3"/>
    <n v="3"/>
    <x v="11"/>
    <n v="2"/>
    <n v="0"/>
    <n v="2"/>
  </r>
  <r>
    <n v="34"/>
    <x v="1"/>
    <s v="Non-Travel"/>
    <n v="697"/>
    <x v="1"/>
    <x v="3"/>
    <n v="4"/>
    <s v="Life Sciences"/>
    <n v="1"/>
    <n v="1115"/>
    <n v="3"/>
    <x v="1"/>
    <n v="40"/>
    <n v="2"/>
    <x v="1"/>
    <x v="1"/>
    <n v="4"/>
    <s v="Married"/>
    <n v="2979"/>
    <n v="22478"/>
    <n v="3"/>
    <s v="Y"/>
    <x v="1"/>
    <n v="17"/>
    <n v="3"/>
    <n v="4"/>
    <n v="80"/>
    <n v="3"/>
    <n v="6"/>
    <n v="2"/>
    <n v="3"/>
    <x v="2"/>
    <n v="0"/>
    <n v="0"/>
    <n v="0"/>
  </r>
  <r>
    <n v="48"/>
    <x v="1"/>
    <s v="Non-Travel"/>
    <n v="1262"/>
    <x v="1"/>
    <x v="0"/>
    <n v="4"/>
    <s v="Medical"/>
    <n v="1"/>
    <n v="1116"/>
    <n v="1"/>
    <x v="1"/>
    <n v="35"/>
    <n v="4"/>
    <x v="3"/>
    <x v="5"/>
    <n v="4"/>
    <s v="Single"/>
    <n v="16885"/>
    <n v="16154"/>
    <n v="2"/>
    <s v="Y"/>
    <x v="1"/>
    <n v="22"/>
    <n v="4"/>
    <n v="3"/>
    <n v="80"/>
    <n v="0"/>
    <n v="27"/>
    <n v="3"/>
    <n v="2"/>
    <x v="8"/>
    <n v="4"/>
    <n v="2"/>
    <n v="1"/>
  </r>
  <r>
    <n v="45"/>
    <x v="1"/>
    <s v="Non-Travel"/>
    <n v="1050"/>
    <x v="0"/>
    <x v="14"/>
    <n v="4"/>
    <s v="Life Sciences"/>
    <n v="1"/>
    <n v="1117"/>
    <n v="2"/>
    <x v="0"/>
    <n v="65"/>
    <n v="2"/>
    <x v="0"/>
    <x v="0"/>
    <n v="3"/>
    <s v="Married"/>
    <n v="5593"/>
    <n v="17970"/>
    <n v="1"/>
    <s v="Y"/>
    <x v="1"/>
    <n v="13"/>
    <n v="3"/>
    <n v="4"/>
    <n v="80"/>
    <n v="1"/>
    <n v="15"/>
    <n v="2"/>
    <n v="3"/>
    <x v="15"/>
    <n v="10"/>
    <n v="4"/>
    <n v="12"/>
  </r>
  <r>
    <n v="52"/>
    <x v="1"/>
    <s v="Travel_Rarely"/>
    <n v="994"/>
    <x v="1"/>
    <x v="15"/>
    <n v="4"/>
    <s v="Life Sciences"/>
    <n v="1"/>
    <n v="1118"/>
    <n v="2"/>
    <x v="1"/>
    <n v="87"/>
    <n v="3"/>
    <x v="2"/>
    <x v="4"/>
    <n v="2"/>
    <s v="Single"/>
    <n v="10445"/>
    <n v="15322"/>
    <n v="7"/>
    <s v="Y"/>
    <x v="1"/>
    <n v="19"/>
    <n v="3"/>
    <n v="4"/>
    <n v="80"/>
    <n v="0"/>
    <n v="18"/>
    <n v="4"/>
    <n v="3"/>
    <x v="3"/>
    <n v="6"/>
    <n v="4"/>
    <n v="0"/>
  </r>
  <r>
    <n v="38"/>
    <x v="1"/>
    <s v="Travel_Rarely"/>
    <n v="770"/>
    <x v="0"/>
    <x v="17"/>
    <n v="4"/>
    <s v="Marketing"/>
    <n v="1"/>
    <n v="1119"/>
    <n v="3"/>
    <x v="1"/>
    <n v="73"/>
    <n v="2"/>
    <x v="2"/>
    <x v="0"/>
    <n v="3"/>
    <s v="Divorced"/>
    <n v="8740"/>
    <n v="5569"/>
    <n v="0"/>
    <s v="Y"/>
    <x v="0"/>
    <n v="14"/>
    <n v="3"/>
    <n v="2"/>
    <n v="80"/>
    <n v="2"/>
    <n v="9"/>
    <n v="2"/>
    <n v="3"/>
    <x v="3"/>
    <n v="7"/>
    <n v="2"/>
    <n v="7"/>
  </r>
  <r>
    <n v="29"/>
    <x v="1"/>
    <s v="Travel_Rarely"/>
    <n v="1107"/>
    <x v="1"/>
    <x v="26"/>
    <n v="4"/>
    <s v="Life Sciences"/>
    <n v="1"/>
    <n v="1120"/>
    <n v="3"/>
    <x v="0"/>
    <n v="93"/>
    <n v="3"/>
    <x v="1"/>
    <x v="1"/>
    <n v="4"/>
    <s v="Divorced"/>
    <n v="2514"/>
    <n v="26968"/>
    <n v="4"/>
    <s v="Y"/>
    <x v="1"/>
    <n v="22"/>
    <n v="4"/>
    <n v="1"/>
    <n v="80"/>
    <n v="1"/>
    <n v="11"/>
    <n v="1"/>
    <n v="3"/>
    <x v="5"/>
    <n v="5"/>
    <n v="1"/>
    <n v="7"/>
  </r>
  <r>
    <n v="28"/>
    <x v="1"/>
    <s v="Travel_Rarely"/>
    <n v="950"/>
    <x v="1"/>
    <x v="3"/>
    <n v="3"/>
    <s v="Medical"/>
    <n v="1"/>
    <n v="1121"/>
    <n v="4"/>
    <x v="0"/>
    <n v="93"/>
    <n v="3"/>
    <x v="2"/>
    <x v="3"/>
    <n v="2"/>
    <s v="Divorced"/>
    <n v="7655"/>
    <n v="8039"/>
    <n v="0"/>
    <s v="Y"/>
    <x v="1"/>
    <n v="17"/>
    <n v="3"/>
    <n v="2"/>
    <n v="80"/>
    <n v="3"/>
    <n v="10"/>
    <n v="3"/>
    <n v="2"/>
    <x v="7"/>
    <n v="7"/>
    <n v="1"/>
    <n v="7"/>
  </r>
  <r>
    <n v="46"/>
    <x v="1"/>
    <s v="Travel_Rarely"/>
    <n v="406"/>
    <x v="0"/>
    <x v="3"/>
    <n v="1"/>
    <s v="Marketing"/>
    <n v="1"/>
    <n v="1124"/>
    <n v="1"/>
    <x v="1"/>
    <n v="52"/>
    <n v="3"/>
    <x v="3"/>
    <x v="5"/>
    <n v="3"/>
    <s v="Married"/>
    <n v="17465"/>
    <n v="15596"/>
    <n v="3"/>
    <s v="Y"/>
    <x v="1"/>
    <n v="12"/>
    <n v="3"/>
    <n v="4"/>
    <n v="80"/>
    <n v="1"/>
    <n v="23"/>
    <n v="3"/>
    <n v="3"/>
    <x v="12"/>
    <n v="9"/>
    <n v="4"/>
    <n v="9"/>
  </r>
  <r>
    <n v="38"/>
    <x v="1"/>
    <s v="Travel_Rarely"/>
    <n v="130"/>
    <x v="0"/>
    <x v="2"/>
    <n v="2"/>
    <s v="Marketing"/>
    <n v="1"/>
    <n v="1125"/>
    <n v="4"/>
    <x v="1"/>
    <n v="32"/>
    <n v="3"/>
    <x v="2"/>
    <x v="0"/>
    <n v="2"/>
    <s v="Single"/>
    <n v="7351"/>
    <n v="20619"/>
    <n v="7"/>
    <s v="Y"/>
    <x v="1"/>
    <n v="16"/>
    <n v="3"/>
    <n v="3"/>
    <n v="80"/>
    <n v="0"/>
    <n v="10"/>
    <n v="2"/>
    <n v="3"/>
    <x v="6"/>
    <n v="0"/>
    <n v="0"/>
    <n v="0"/>
  </r>
  <r>
    <n v="43"/>
    <x v="1"/>
    <s v="Travel_Frequently"/>
    <n v="1082"/>
    <x v="1"/>
    <x v="6"/>
    <n v="3"/>
    <s v="Life Sciences"/>
    <n v="1"/>
    <n v="1126"/>
    <n v="3"/>
    <x v="0"/>
    <n v="83"/>
    <n v="3"/>
    <x v="2"/>
    <x v="3"/>
    <n v="1"/>
    <s v="Married"/>
    <n v="10820"/>
    <n v="11535"/>
    <n v="8"/>
    <s v="Y"/>
    <x v="1"/>
    <n v="11"/>
    <n v="3"/>
    <n v="3"/>
    <n v="80"/>
    <n v="1"/>
    <n v="18"/>
    <n v="1"/>
    <n v="3"/>
    <x v="3"/>
    <n v="7"/>
    <n v="0"/>
    <n v="1"/>
  </r>
  <r>
    <n v="39"/>
    <x v="0"/>
    <s v="Travel_Frequently"/>
    <n v="203"/>
    <x v="1"/>
    <x v="2"/>
    <n v="3"/>
    <s v="Life Sciences"/>
    <n v="1"/>
    <n v="1127"/>
    <n v="1"/>
    <x v="1"/>
    <n v="84"/>
    <n v="3"/>
    <x v="3"/>
    <x v="4"/>
    <n v="4"/>
    <s v="Divorced"/>
    <n v="12169"/>
    <n v="13547"/>
    <n v="7"/>
    <s v="Y"/>
    <x v="1"/>
    <n v="11"/>
    <n v="3"/>
    <n v="4"/>
    <n v="80"/>
    <n v="3"/>
    <n v="21"/>
    <n v="4"/>
    <n v="3"/>
    <x v="29"/>
    <n v="7"/>
    <n v="11"/>
    <n v="5"/>
  </r>
  <r>
    <n v="40"/>
    <x v="1"/>
    <s v="Travel_Rarely"/>
    <n v="1308"/>
    <x v="1"/>
    <x v="24"/>
    <n v="3"/>
    <s v="Medical"/>
    <n v="1"/>
    <n v="1128"/>
    <n v="3"/>
    <x v="1"/>
    <n v="44"/>
    <n v="2"/>
    <x v="4"/>
    <x v="7"/>
    <n v="3"/>
    <s v="Single"/>
    <n v="19626"/>
    <n v="17544"/>
    <n v="1"/>
    <s v="Y"/>
    <x v="1"/>
    <n v="14"/>
    <n v="3"/>
    <n v="1"/>
    <n v="80"/>
    <n v="0"/>
    <n v="21"/>
    <n v="2"/>
    <n v="4"/>
    <x v="23"/>
    <n v="7"/>
    <n v="4"/>
    <n v="9"/>
  </r>
  <r>
    <n v="21"/>
    <x v="1"/>
    <s v="Travel_Rarely"/>
    <n v="984"/>
    <x v="1"/>
    <x v="0"/>
    <n v="1"/>
    <s v="Technical Degree"/>
    <n v="1"/>
    <n v="1131"/>
    <n v="4"/>
    <x v="0"/>
    <n v="70"/>
    <n v="2"/>
    <x v="1"/>
    <x v="1"/>
    <n v="2"/>
    <s v="Single"/>
    <n v="2070"/>
    <n v="25326"/>
    <n v="1"/>
    <s v="Y"/>
    <x v="0"/>
    <n v="11"/>
    <n v="3"/>
    <n v="3"/>
    <n v="80"/>
    <n v="0"/>
    <n v="2"/>
    <n v="6"/>
    <n v="4"/>
    <x v="4"/>
    <n v="2"/>
    <n v="2"/>
    <n v="2"/>
  </r>
  <r>
    <n v="39"/>
    <x v="1"/>
    <s v="Non-Travel"/>
    <n v="439"/>
    <x v="1"/>
    <x v="14"/>
    <n v="3"/>
    <s v="Life Sciences"/>
    <n v="1"/>
    <n v="1132"/>
    <n v="3"/>
    <x v="1"/>
    <n v="70"/>
    <n v="3"/>
    <x v="0"/>
    <x v="2"/>
    <n v="2"/>
    <s v="Single"/>
    <n v="6782"/>
    <n v="8770"/>
    <n v="9"/>
    <s v="Y"/>
    <x v="1"/>
    <n v="15"/>
    <n v="3"/>
    <n v="3"/>
    <n v="80"/>
    <n v="0"/>
    <n v="9"/>
    <n v="2"/>
    <n v="2"/>
    <x v="8"/>
    <n v="4"/>
    <n v="0"/>
    <n v="3"/>
  </r>
  <r>
    <n v="36"/>
    <x v="1"/>
    <s v="Non-Travel"/>
    <n v="217"/>
    <x v="1"/>
    <x v="21"/>
    <n v="4"/>
    <s v="Life Sciences"/>
    <n v="1"/>
    <n v="1133"/>
    <n v="1"/>
    <x v="1"/>
    <n v="78"/>
    <n v="3"/>
    <x v="0"/>
    <x v="3"/>
    <n v="4"/>
    <s v="Single"/>
    <n v="7779"/>
    <n v="23238"/>
    <n v="2"/>
    <s v="Y"/>
    <x v="1"/>
    <n v="20"/>
    <n v="4"/>
    <n v="1"/>
    <n v="80"/>
    <n v="0"/>
    <n v="18"/>
    <n v="0"/>
    <n v="3"/>
    <x v="19"/>
    <n v="9"/>
    <n v="0"/>
    <n v="9"/>
  </r>
  <r>
    <n v="31"/>
    <x v="1"/>
    <s v="Travel_Frequently"/>
    <n v="793"/>
    <x v="0"/>
    <x v="25"/>
    <n v="3"/>
    <s v="Life Sciences"/>
    <n v="1"/>
    <n v="1135"/>
    <n v="3"/>
    <x v="1"/>
    <n v="67"/>
    <n v="4"/>
    <x v="1"/>
    <x v="6"/>
    <n v="4"/>
    <s v="Married"/>
    <n v="2791"/>
    <n v="21981"/>
    <n v="0"/>
    <s v="Y"/>
    <x v="1"/>
    <n v="12"/>
    <n v="3"/>
    <n v="1"/>
    <n v="80"/>
    <n v="1"/>
    <n v="3"/>
    <n v="4"/>
    <n v="3"/>
    <x v="4"/>
    <n v="2"/>
    <n v="2"/>
    <n v="2"/>
  </r>
  <r>
    <n v="28"/>
    <x v="1"/>
    <s v="Travel_Rarely"/>
    <n v="1451"/>
    <x v="1"/>
    <x v="2"/>
    <n v="1"/>
    <s v="Life Sciences"/>
    <n v="1"/>
    <n v="1136"/>
    <n v="1"/>
    <x v="1"/>
    <n v="67"/>
    <n v="2"/>
    <x v="1"/>
    <x v="1"/>
    <n v="2"/>
    <s v="Married"/>
    <n v="3201"/>
    <n v="19911"/>
    <n v="0"/>
    <s v="Y"/>
    <x v="1"/>
    <n v="17"/>
    <n v="3"/>
    <n v="1"/>
    <n v="80"/>
    <n v="0"/>
    <n v="6"/>
    <n v="2"/>
    <n v="1"/>
    <x v="8"/>
    <n v="3"/>
    <n v="0"/>
    <n v="4"/>
  </r>
  <r>
    <n v="35"/>
    <x v="1"/>
    <s v="Travel_Frequently"/>
    <n v="1182"/>
    <x v="0"/>
    <x v="13"/>
    <n v="2"/>
    <s v="Marketing"/>
    <n v="1"/>
    <n v="1137"/>
    <n v="4"/>
    <x v="1"/>
    <n v="54"/>
    <n v="3"/>
    <x v="0"/>
    <x v="0"/>
    <n v="4"/>
    <s v="Divorced"/>
    <n v="4968"/>
    <n v="18500"/>
    <n v="1"/>
    <s v="Y"/>
    <x v="1"/>
    <n v="11"/>
    <n v="3"/>
    <n v="4"/>
    <n v="80"/>
    <n v="1"/>
    <n v="5"/>
    <n v="3"/>
    <n v="3"/>
    <x v="8"/>
    <n v="2"/>
    <n v="0"/>
    <n v="2"/>
  </r>
  <r>
    <n v="49"/>
    <x v="1"/>
    <s v="Travel_Rarely"/>
    <n v="174"/>
    <x v="0"/>
    <x v="1"/>
    <n v="4"/>
    <s v="Technical Degree"/>
    <n v="1"/>
    <n v="1138"/>
    <n v="4"/>
    <x v="1"/>
    <n v="56"/>
    <n v="2"/>
    <x v="3"/>
    <x v="0"/>
    <n v="2"/>
    <s v="Married"/>
    <n v="13120"/>
    <n v="11879"/>
    <n v="6"/>
    <s v="Y"/>
    <x v="1"/>
    <n v="17"/>
    <n v="3"/>
    <n v="2"/>
    <n v="80"/>
    <n v="1"/>
    <n v="22"/>
    <n v="3"/>
    <n v="3"/>
    <x v="7"/>
    <n v="8"/>
    <n v="2"/>
    <n v="3"/>
  </r>
  <r>
    <n v="34"/>
    <x v="1"/>
    <s v="Travel_Frequently"/>
    <n v="1003"/>
    <x v="1"/>
    <x v="2"/>
    <n v="2"/>
    <s v="Life Sciences"/>
    <n v="1"/>
    <n v="1140"/>
    <n v="4"/>
    <x v="1"/>
    <n v="95"/>
    <n v="3"/>
    <x v="0"/>
    <x v="3"/>
    <n v="3"/>
    <s v="Single"/>
    <n v="4033"/>
    <n v="15834"/>
    <n v="2"/>
    <s v="Y"/>
    <x v="1"/>
    <n v="11"/>
    <n v="3"/>
    <n v="4"/>
    <n v="80"/>
    <n v="0"/>
    <n v="5"/>
    <n v="3"/>
    <n v="2"/>
    <x v="11"/>
    <n v="2"/>
    <n v="0"/>
    <n v="2"/>
  </r>
  <r>
    <n v="29"/>
    <x v="1"/>
    <s v="Travel_Frequently"/>
    <n v="490"/>
    <x v="1"/>
    <x v="17"/>
    <n v="3"/>
    <s v="Life Sciences"/>
    <n v="1"/>
    <n v="1143"/>
    <n v="4"/>
    <x v="0"/>
    <n v="61"/>
    <n v="3"/>
    <x v="1"/>
    <x v="1"/>
    <n v="2"/>
    <s v="Divorced"/>
    <n v="3291"/>
    <n v="17940"/>
    <n v="0"/>
    <s v="Y"/>
    <x v="1"/>
    <n v="14"/>
    <n v="3"/>
    <n v="4"/>
    <n v="80"/>
    <n v="2"/>
    <n v="8"/>
    <n v="2"/>
    <n v="2"/>
    <x v="5"/>
    <n v="5"/>
    <n v="1"/>
    <n v="1"/>
  </r>
  <r>
    <n v="42"/>
    <x v="1"/>
    <s v="Travel_Rarely"/>
    <n v="188"/>
    <x v="1"/>
    <x v="22"/>
    <n v="3"/>
    <s v="Medical"/>
    <n v="1"/>
    <n v="1148"/>
    <n v="2"/>
    <x v="1"/>
    <n v="56"/>
    <n v="1"/>
    <x v="0"/>
    <x v="2"/>
    <n v="4"/>
    <s v="Single"/>
    <n v="4272"/>
    <n v="9558"/>
    <n v="4"/>
    <s v="Y"/>
    <x v="1"/>
    <n v="19"/>
    <n v="3"/>
    <n v="1"/>
    <n v="80"/>
    <n v="0"/>
    <n v="16"/>
    <n v="3"/>
    <n v="3"/>
    <x v="6"/>
    <n v="0"/>
    <n v="0"/>
    <n v="0"/>
  </r>
  <r>
    <n v="29"/>
    <x v="1"/>
    <s v="Travel_Rarely"/>
    <n v="718"/>
    <x v="1"/>
    <x v="1"/>
    <n v="1"/>
    <s v="Medical"/>
    <n v="1"/>
    <n v="1150"/>
    <n v="2"/>
    <x v="1"/>
    <n v="79"/>
    <n v="2"/>
    <x v="0"/>
    <x v="3"/>
    <n v="4"/>
    <s v="Married"/>
    <n v="5056"/>
    <n v="17689"/>
    <n v="1"/>
    <s v="Y"/>
    <x v="0"/>
    <n v="15"/>
    <n v="3"/>
    <n v="3"/>
    <n v="80"/>
    <n v="1"/>
    <n v="10"/>
    <n v="2"/>
    <n v="2"/>
    <x v="1"/>
    <n v="7"/>
    <n v="1"/>
    <n v="2"/>
  </r>
  <r>
    <n v="38"/>
    <x v="1"/>
    <s v="Travel_Rarely"/>
    <n v="433"/>
    <x v="2"/>
    <x v="0"/>
    <n v="3"/>
    <s v="Human Resources"/>
    <n v="1"/>
    <n v="1152"/>
    <n v="3"/>
    <x v="1"/>
    <n v="37"/>
    <n v="4"/>
    <x v="1"/>
    <x v="8"/>
    <n v="3"/>
    <s v="Married"/>
    <n v="2844"/>
    <n v="6004"/>
    <n v="1"/>
    <s v="Y"/>
    <x v="1"/>
    <n v="13"/>
    <n v="3"/>
    <n v="4"/>
    <n v="80"/>
    <n v="1"/>
    <n v="7"/>
    <n v="2"/>
    <n v="4"/>
    <x v="5"/>
    <n v="6"/>
    <n v="5"/>
    <n v="0"/>
  </r>
  <r>
    <n v="28"/>
    <x v="1"/>
    <s v="Travel_Frequently"/>
    <n v="773"/>
    <x v="1"/>
    <x v="16"/>
    <n v="3"/>
    <s v="Life Sciences"/>
    <n v="1"/>
    <n v="1154"/>
    <n v="3"/>
    <x v="1"/>
    <n v="39"/>
    <n v="2"/>
    <x v="1"/>
    <x v="1"/>
    <n v="3"/>
    <s v="Divorced"/>
    <n v="2703"/>
    <n v="22088"/>
    <n v="1"/>
    <s v="Y"/>
    <x v="0"/>
    <n v="14"/>
    <n v="3"/>
    <n v="4"/>
    <n v="80"/>
    <n v="1"/>
    <n v="3"/>
    <n v="2"/>
    <n v="3"/>
    <x v="11"/>
    <n v="1"/>
    <n v="0"/>
    <n v="2"/>
  </r>
  <r>
    <n v="18"/>
    <x v="0"/>
    <s v="Non-Travel"/>
    <n v="247"/>
    <x v="1"/>
    <x v="1"/>
    <n v="1"/>
    <s v="Medical"/>
    <n v="1"/>
    <n v="1156"/>
    <n v="3"/>
    <x v="1"/>
    <n v="80"/>
    <n v="3"/>
    <x v="1"/>
    <x v="2"/>
    <n v="3"/>
    <s v="Single"/>
    <n v="1904"/>
    <n v="13556"/>
    <n v="1"/>
    <s v="Y"/>
    <x v="1"/>
    <n v="12"/>
    <n v="3"/>
    <n v="4"/>
    <n v="80"/>
    <n v="0"/>
    <n v="0"/>
    <n v="0"/>
    <n v="3"/>
    <x v="2"/>
    <n v="0"/>
    <n v="0"/>
    <n v="0"/>
  </r>
  <r>
    <n v="33"/>
    <x v="0"/>
    <s v="Travel_Rarely"/>
    <n v="603"/>
    <x v="0"/>
    <x v="14"/>
    <n v="4"/>
    <s v="Marketing"/>
    <n v="1"/>
    <n v="1157"/>
    <n v="1"/>
    <x v="0"/>
    <n v="77"/>
    <n v="3"/>
    <x v="0"/>
    <x v="0"/>
    <n v="1"/>
    <s v="Single"/>
    <n v="8224"/>
    <n v="18385"/>
    <n v="0"/>
    <s v="Y"/>
    <x v="0"/>
    <n v="17"/>
    <n v="3"/>
    <n v="1"/>
    <n v="80"/>
    <n v="0"/>
    <n v="6"/>
    <n v="3"/>
    <n v="3"/>
    <x v="8"/>
    <n v="2"/>
    <n v="0"/>
    <n v="3"/>
  </r>
  <r>
    <n v="41"/>
    <x v="1"/>
    <s v="Travel_Rarely"/>
    <n v="167"/>
    <x v="1"/>
    <x v="20"/>
    <n v="4"/>
    <s v="Life Sciences"/>
    <n v="1"/>
    <n v="1158"/>
    <n v="2"/>
    <x v="1"/>
    <n v="46"/>
    <n v="3"/>
    <x v="1"/>
    <x v="2"/>
    <n v="4"/>
    <s v="Married"/>
    <n v="4766"/>
    <n v="9051"/>
    <n v="3"/>
    <s v="Y"/>
    <x v="0"/>
    <n v="11"/>
    <n v="3"/>
    <n v="1"/>
    <n v="80"/>
    <n v="1"/>
    <n v="6"/>
    <n v="4"/>
    <n v="3"/>
    <x v="6"/>
    <n v="0"/>
    <n v="0"/>
    <n v="0"/>
  </r>
  <r>
    <n v="31"/>
    <x v="0"/>
    <s v="Travel_Frequently"/>
    <n v="874"/>
    <x v="1"/>
    <x v="8"/>
    <n v="3"/>
    <s v="Medical"/>
    <n v="1"/>
    <n v="1160"/>
    <n v="3"/>
    <x v="1"/>
    <n v="72"/>
    <n v="3"/>
    <x v="1"/>
    <x v="2"/>
    <n v="3"/>
    <s v="Married"/>
    <n v="2610"/>
    <n v="6233"/>
    <n v="1"/>
    <s v="Y"/>
    <x v="1"/>
    <n v="12"/>
    <n v="3"/>
    <n v="3"/>
    <n v="80"/>
    <n v="1"/>
    <n v="2"/>
    <n v="5"/>
    <n v="2"/>
    <x v="4"/>
    <n v="2"/>
    <n v="2"/>
    <n v="2"/>
  </r>
  <r>
    <n v="37"/>
    <x v="1"/>
    <s v="Travel_Rarely"/>
    <n v="367"/>
    <x v="1"/>
    <x v="19"/>
    <n v="2"/>
    <s v="Medical"/>
    <n v="1"/>
    <n v="1161"/>
    <n v="3"/>
    <x v="0"/>
    <n v="52"/>
    <n v="2"/>
    <x v="0"/>
    <x v="4"/>
    <n v="4"/>
    <s v="Divorced"/>
    <n v="5731"/>
    <n v="17171"/>
    <n v="7"/>
    <s v="Y"/>
    <x v="1"/>
    <n v="13"/>
    <n v="3"/>
    <n v="3"/>
    <n v="80"/>
    <n v="2"/>
    <n v="9"/>
    <n v="2"/>
    <n v="3"/>
    <x v="0"/>
    <n v="2"/>
    <n v="1"/>
    <n v="3"/>
  </r>
  <r>
    <n v="27"/>
    <x v="1"/>
    <s v="Travel_Rarely"/>
    <n v="199"/>
    <x v="1"/>
    <x v="16"/>
    <n v="3"/>
    <s v="Life Sciences"/>
    <n v="1"/>
    <n v="1162"/>
    <n v="4"/>
    <x v="1"/>
    <n v="55"/>
    <n v="2"/>
    <x v="1"/>
    <x v="1"/>
    <n v="3"/>
    <s v="Married"/>
    <n v="2539"/>
    <n v="7950"/>
    <n v="1"/>
    <s v="Y"/>
    <x v="1"/>
    <n v="13"/>
    <n v="3"/>
    <n v="3"/>
    <n v="80"/>
    <n v="1"/>
    <n v="4"/>
    <n v="0"/>
    <n v="3"/>
    <x v="9"/>
    <n v="2"/>
    <n v="2"/>
    <n v="2"/>
  </r>
  <r>
    <n v="34"/>
    <x v="1"/>
    <s v="Travel_Rarely"/>
    <n v="1400"/>
    <x v="0"/>
    <x v="14"/>
    <n v="1"/>
    <s v="Life Sciences"/>
    <n v="1"/>
    <n v="1163"/>
    <n v="2"/>
    <x v="0"/>
    <n v="70"/>
    <n v="3"/>
    <x v="0"/>
    <x v="0"/>
    <n v="3"/>
    <s v="Married"/>
    <n v="5714"/>
    <n v="5829"/>
    <n v="1"/>
    <s v="Y"/>
    <x v="1"/>
    <n v="20"/>
    <n v="4"/>
    <n v="1"/>
    <n v="80"/>
    <n v="0"/>
    <n v="6"/>
    <n v="3"/>
    <n v="2"/>
    <x v="0"/>
    <n v="5"/>
    <n v="1"/>
    <n v="3"/>
  </r>
  <r>
    <n v="35"/>
    <x v="1"/>
    <s v="Travel_Rarely"/>
    <n v="528"/>
    <x v="2"/>
    <x v="1"/>
    <n v="4"/>
    <s v="Technical Degree"/>
    <n v="1"/>
    <n v="1164"/>
    <n v="3"/>
    <x v="1"/>
    <n v="100"/>
    <n v="3"/>
    <x v="1"/>
    <x v="8"/>
    <n v="3"/>
    <s v="Single"/>
    <n v="4323"/>
    <n v="7108"/>
    <n v="1"/>
    <s v="Y"/>
    <x v="1"/>
    <n v="17"/>
    <n v="3"/>
    <n v="2"/>
    <n v="80"/>
    <n v="0"/>
    <n v="6"/>
    <n v="2"/>
    <n v="1"/>
    <x v="8"/>
    <n v="4"/>
    <n v="1"/>
    <n v="4"/>
  </r>
  <r>
    <n v="29"/>
    <x v="0"/>
    <s v="Travel_Rarely"/>
    <n v="408"/>
    <x v="0"/>
    <x v="5"/>
    <n v="1"/>
    <s v="Life Sciences"/>
    <n v="1"/>
    <n v="1165"/>
    <n v="4"/>
    <x v="0"/>
    <n v="45"/>
    <n v="2"/>
    <x v="2"/>
    <x v="0"/>
    <n v="1"/>
    <s v="Married"/>
    <n v="7336"/>
    <n v="11162"/>
    <n v="1"/>
    <s v="Y"/>
    <x v="1"/>
    <n v="13"/>
    <n v="3"/>
    <n v="1"/>
    <n v="80"/>
    <n v="1"/>
    <n v="11"/>
    <n v="3"/>
    <n v="1"/>
    <x v="19"/>
    <n v="8"/>
    <n v="3"/>
    <n v="10"/>
  </r>
  <r>
    <n v="40"/>
    <x v="1"/>
    <s v="Travel_Frequently"/>
    <n v="593"/>
    <x v="1"/>
    <x v="14"/>
    <n v="4"/>
    <s v="Medical"/>
    <n v="1"/>
    <n v="1166"/>
    <n v="2"/>
    <x v="0"/>
    <n v="88"/>
    <n v="3"/>
    <x v="2"/>
    <x v="7"/>
    <n v="3"/>
    <s v="Single"/>
    <n v="13499"/>
    <n v="13782"/>
    <n v="9"/>
    <s v="Y"/>
    <x v="1"/>
    <n v="17"/>
    <n v="3"/>
    <n v="3"/>
    <n v="80"/>
    <n v="0"/>
    <n v="20"/>
    <n v="3"/>
    <n v="2"/>
    <x v="29"/>
    <n v="7"/>
    <n v="2"/>
    <n v="13"/>
  </r>
  <r>
    <n v="42"/>
    <x v="0"/>
    <s v="Travel_Frequently"/>
    <n v="481"/>
    <x v="0"/>
    <x v="20"/>
    <n v="3"/>
    <s v="Life Sciences"/>
    <n v="1"/>
    <n v="1167"/>
    <n v="3"/>
    <x v="1"/>
    <n v="44"/>
    <n v="3"/>
    <x v="3"/>
    <x v="0"/>
    <n v="1"/>
    <s v="Single"/>
    <n v="13758"/>
    <n v="2447"/>
    <n v="0"/>
    <s v="Y"/>
    <x v="0"/>
    <n v="12"/>
    <n v="3"/>
    <n v="2"/>
    <n v="80"/>
    <n v="0"/>
    <n v="22"/>
    <n v="2"/>
    <n v="2"/>
    <x v="17"/>
    <n v="9"/>
    <n v="13"/>
    <n v="14"/>
  </r>
  <r>
    <n v="42"/>
    <x v="1"/>
    <s v="Travel_Rarely"/>
    <n v="647"/>
    <x v="0"/>
    <x v="18"/>
    <n v="4"/>
    <s v="Marketing"/>
    <n v="1"/>
    <n v="1171"/>
    <n v="2"/>
    <x v="1"/>
    <n v="45"/>
    <n v="3"/>
    <x v="0"/>
    <x v="0"/>
    <n v="1"/>
    <s v="Single"/>
    <n v="5155"/>
    <n v="2253"/>
    <n v="7"/>
    <s v="Y"/>
    <x v="1"/>
    <n v="13"/>
    <n v="3"/>
    <n v="4"/>
    <n v="80"/>
    <n v="0"/>
    <n v="9"/>
    <n v="3"/>
    <n v="4"/>
    <x v="0"/>
    <n v="4"/>
    <n v="1"/>
    <n v="5"/>
  </r>
  <r>
    <n v="35"/>
    <x v="1"/>
    <s v="Travel_Rarely"/>
    <n v="982"/>
    <x v="1"/>
    <x v="0"/>
    <n v="4"/>
    <s v="Medical"/>
    <n v="1"/>
    <n v="1172"/>
    <n v="4"/>
    <x v="1"/>
    <n v="58"/>
    <n v="2"/>
    <x v="1"/>
    <x v="2"/>
    <n v="3"/>
    <s v="Married"/>
    <n v="2258"/>
    <n v="16340"/>
    <n v="6"/>
    <s v="Y"/>
    <x v="1"/>
    <n v="12"/>
    <n v="3"/>
    <n v="2"/>
    <n v="80"/>
    <n v="1"/>
    <n v="10"/>
    <n v="2"/>
    <n v="3"/>
    <x v="3"/>
    <n v="0"/>
    <n v="1"/>
    <n v="7"/>
  </r>
  <r>
    <n v="24"/>
    <x v="1"/>
    <s v="Travel_Rarely"/>
    <n v="477"/>
    <x v="1"/>
    <x v="4"/>
    <n v="3"/>
    <s v="Medical"/>
    <n v="1"/>
    <n v="1173"/>
    <n v="4"/>
    <x v="1"/>
    <n v="49"/>
    <n v="3"/>
    <x v="1"/>
    <x v="2"/>
    <n v="2"/>
    <s v="Single"/>
    <n v="3597"/>
    <n v="6409"/>
    <n v="8"/>
    <s v="Y"/>
    <x v="1"/>
    <n v="22"/>
    <n v="4"/>
    <n v="4"/>
    <n v="80"/>
    <n v="0"/>
    <n v="6"/>
    <n v="2"/>
    <n v="3"/>
    <x v="9"/>
    <n v="3"/>
    <n v="1"/>
    <n v="2"/>
  </r>
  <r>
    <n v="28"/>
    <x v="0"/>
    <s v="Travel_Rarely"/>
    <n v="1485"/>
    <x v="1"/>
    <x v="20"/>
    <n v="1"/>
    <s v="Life Sciences"/>
    <n v="1"/>
    <n v="1175"/>
    <n v="3"/>
    <x v="0"/>
    <n v="79"/>
    <n v="3"/>
    <x v="1"/>
    <x v="2"/>
    <n v="4"/>
    <s v="Married"/>
    <n v="2515"/>
    <n v="22955"/>
    <n v="1"/>
    <s v="Y"/>
    <x v="0"/>
    <n v="11"/>
    <n v="3"/>
    <n v="4"/>
    <n v="80"/>
    <n v="0"/>
    <n v="1"/>
    <n v="4"/>
    <n v="2"/>
    <x v="6"/>
    <n v="1"/>
    <n v="0"/>
    <n v="0"/>
  </r>
  <r>
    <n v="26"/>
    <x v="1"/>
    <s v="Travel_Rarely"/>
    <n v="1384"/>
    <x v="1"/>
    <x v="3"/>
    <n v="4"/>
    <s v="Medical"/>
    <n v="1"/>
    <n v="1177"/>
    <n v="1"/>
    <x v="1"/>
    <n v="82"/>
    <n v="4"/>
    <x v="1"/>
    <x v="2"/>
    <n v="4"/>
    <s v="Married"/>
    <n v="4420"/>
    <n v="13421"/>
    <n v="1"/>
    <s v="Y"/>
    <x v="1"/>
    <n v="22"/>
    <n v="4"/>
    <n v="2"/>
    <n v="80"/>
    <n v="1"/>
    <n v="8"/>
    <n v="2"/>
    <n v="3"/>
    <x v="3"/>
    <n v="7"/>
    <n v="0"/>
    <n v="7"/>
  </r>
  <r>
    <n v="30"/>
    <x v="1"/>
    <s v="Travel_Rarely"/>
    <n v="852"/>
    <x v="0"/>
    <x v="17"/>
    <n v="3"/>
    <s v="Marketing"/>
    <n v="1"/>
    <n v="1179"/>
    <n v="3"/>
    <x v="1"/>
    <n v="72"/>
    <n v="2"/>
    <x v="0"/>
    <x v="0"/>
    <n v="3"/>
    <s v="Married"/>
    <n v="6578"/>
    <n v="2706"/>
    <n v="1"/>
    <s v="Y"/>
    <x v="1"/>
    <n v="18"/>
    <n v="3"/>
    <n v="1"/>
    <n v="80"/>
    <n v="1"/>
    <n v="10"/>
    <n v="3"/>
    <n v="3"/>
    <x v="1"/>
    <n v="3"/>
    <n v="1"/>
    <n v="4"/>
  </r>
  <r>
    <n v="40"/>
    <x v="1"/>
    <s v="Travel_Frequently"/>
    <n v="902"/>
    <x v="1"/>
    <x v="9"/>
    <n v="2"/>
    <s v="Medical"/>
    <n v="1"/>
    <n v="1180"/>
    <n v="3"/>
    <x v="0"/>
    <n v="92"/>
    <n v="2"/>
    <x v="0"/>
    <x v="1"/>
    <n v="4"/>
    <s v="Married"/>
    <n v="4422"/>
    <n v="21203"/>
    <n v="3"/>
    <s v="Y"/>
    <x v="0"/>
    <n v="13"/>
    <n v="3"/>
    <n v="4"/>
    <n v="80"/>
    <n v="1"/>
    <n v="16"/>
    <n v="3"/>
    <n v="1"/>
    <x v="6"/>
    <n v="1"/>
    <n v="0"/>
    <n v="0"/>
  </r>
  <r>
    <n v="35"/>
    <x v="1"/>
    <s v="Travel_Rarely"/>
    <n v="819"/>
    <x v="1"/>
    <x v="2"/>
    <n v="3"/>
    <s v="Life Sciences"/>
    <n v="1"/>
    <n v="1182"/>
    <n v="3"/>
    <x v="1"/>
    <n v="44"/>
    <n v="2"/>
    <x v="2"/>
    <x v="3"/>
    <n v="2"/>
    <s v="Divorced"/>
    <n v="10274"/>
    <n v="19588"/>
    <n v="2"/>
    <s v="Y"/>
    <x v="1"/>
    <n v="18"/>
    <n v="3"/>
    <n v="2"/>
    <n v="80"/>
    <n v="1"/>
    <n v="15"/>
    <n v="2"/>
    <n v="4"/>
    <x v="5"/>
    <n v="7"/>
    <n v="6"/>
    <n v="4"/>
  </r>
  <r>
    <n v="34"/>
    <x v="1"/>
    <s v="Travel_Frequently"/>
    <n v="669"/>
    <x v="1"/>
    <x v="0"/>
    <n v="3"/>
    <s v="Medical"/>
    <n v="1"/>
    <n v="1184"/>
    <n v="4"/>
    <x v="1"/>
    <n v="97"/>
    <n v="2"/>
    <x v="0"/>
    <x v="4"/>
    <n v="1"/>
    <s v="Single"/>
    <n v="5343"/>
    <n v="25755"/>
    <n v="0"/>
    <s v="Y"/>
    <x v="1"/>
    <n v="20"/>
    <n v="4"/>
    <n v="3"/>
    <n v="80"/>
    <n v="0"/>
    <n v="14"/>
    <n v="3"/>
    <n v="3"/>
    <x v="20"/>
    <n v="9"/>
    <n v="4"/>
    <n v="9"/>
  </r>
  <r>
    <n v="35"/>
    <x v="1"/>
    <s v="Travel_Frequently"/>
    <n v="636"/>
    <x v="1"/>
    <x v="18"/>
    <n v="4"/>
    <s v="Other"/>
    <n v="1"/>
    <n v="1185"/>
    <n v="4"/>
    <x v="1"/>
    <n v="47"/>
    <n v="2"/>
    <x v="1"/>
    <x v="2"/>
    <n v="4"/>
    <s v="Married"/>
    <n v="2376"/>
    <n v="26537"/>
    <n v="1"/>
    <s v="Y"/>
    <x v="1"/>
    <n v="13"/>
    <n v="3"/>
    <n v="2"/>
    <n v="80"/>
    <n v="1"/>
    <n v="2"/>
    <n v="2"/>
    <n v="4"/>
    <x v="4"/>
    <n v="2"/>
    <n v="2"/>
    <n v="2"/>
  </r>
  <r>
    <n v="43"/>
    <x v="0"/>
    <s v="Travel_Rarely"/>
    <n v="1372"/>
    <x v="0"/>
    <x v="14"/>
    <n v="3"/>
    <s v="Marketing"/>
    <n v="1"/>
    <n v="1188"/>
    <n v="1"/>
    <x v="0"/>
    <n v="85"/>
    <n v="1"/>
    <x v="0"/>
    <x v="0"/>
    <n v="3"/>
    <s v="Single"/>
    <n v="5346"/>
    <n v="9489"/>
    <n v="8"/>
    <s v="Y"/>
    <x v="1"/>
    <n v="13"/>
    <n v="3"/>
    <n v="2"/>
    <n v="80"/>
    <n v="0"/>
    <n v="7"/>
    <n v="2"/>
    <n v="2"/>
    <x v="9"/>
    <n v="3"/>
    <n v="1"/>
    <n v="3"/>
  </r>
  <r>
    <n v="32"/>
    <x v="1"/>
    <s v="Non-Travel"/>
    <n v="862"/>
    <x v="0"/>
    <x v="2"/>
    <n v="1"/>
    <s v="Life Sciences"/>
    <n v="1"/>
    <n v="1190"/>
    <n v="3"/>
    <x v="0"/>
    <n v="76"/>
    <n v="3"/>
    <x v="1"/>
    <x v="6"/>
    <n v="1"/>
    <s v="Divorced"/>
    <n v="2827"/>
    <n v="14947"/>
    <n v="1"/>
    <s v="Y"/>
    <x v="1"/>
    <n v="12"/>
    <n v="3"/>
    <n v="3"/>
    <n v="80"/>
    <n v="3"/>
    <n v="1"/>
    <n v="3"/>
    <n v="3"/>
    <x v="6"/>
    <n v="0"/>
    <n v="0"/>
    <n v="0"/>
  </r>
  <r>
    <n v="56"/>
    <x v="1"/>
    <s v="Travel_Rarely"/>
    <n v="718"/>
    <x v="1"/>
    <x v="18"/>
    <n v="4"/>
    <s v="Technical Degree"/>
    <n v="1"/>
    <n v="1191"/>
    <n v="4"/>
    <x v="0"/>
    <n v="92"/>
    <n v="3"/>
    <x v="4"/>
    <x v="5"/>
    <n v="1"/>
    <s v="Divorced"/>
    <n v="19943"/>
    <n v="18575"/>
    <n v="4"/>
    <s v="Y"/>
    <x v="1"/>
    <n v="13"/>
    <n v="3"/>
    <n v="4"/>
    <n v="80"/>
    <n v="1"/>
    <n v="28"/>
    <n v="2"/>
    <n v="3"/>
    <x v="8"/>
    <n v="2"/>
    <n v="4"/>
    <n v="2"/>
  </r>
  <r>
    <n v="29"/>
    <x v="1"/>
    <s v="Travel_Rarely"/>
    <n v="1401"/>
    <x v="1"/>
    <x v="16"/>
    <n v="1"/>
    <s v="Medical"/>
    <n v="1"/>
    <n v="1192"/>
    <n v="2"/>
    <x v="0"/>
    <n v="54"/>
    <n v="3"/>
    <x v="1"/>
    <x v="2"/>
    <n v="4"/>
    <s v="Married"/>
    <n v="3131"/>
    <n v="26342"/>
    <n v="1"/>
    <s v="Y"/>
    <x v="1"/>
    <n v="13"/>
    <n v="3"/>
    <n v="1"/>
    <n v="80"/>
    <n v="1"/>
    <n v="10"/>
    <n v="5"/>
    <n v="3"/>
    <x v="1"/>
    <n v="8"/>
    <n v="0"/>
    <n v="8"/>
  </r>
  <r>
    <n v="19"/>
    <x v="1"/>
    <s v="Travel_Rarely"/>
    <n v="645"/>
    <x v="1"/>
    <x v="14"/>
    <n v="2"/>
    <s v="Life Sciences"/>
    <n v="1"/>
    <n v="1193"/>
    <n v="3"/>
    <x v="1"/>
    <n v="54"/>
    <n v="3"/>
    <x v="1"/>
    <x v="1"/>
    <n v="1"/>
    <s v="Single"/>
    <n v="2552"/>
    <n v="7172"/>
    <n v="1"/>
    <s v="Y"/>
    <x v="1"/>
    <n v="25"/>
    <n v="4"/>
    <n v="3"/>
    <n v="80"/>
    <n v="0"/>
    <n v="1"/>
    <n v="4"/>
    <n v="3"/>
    <x v="6"/>
    <n v="1"/>
    <n v="0"/>
    <n v="0"/>
  </r>
  <r>
    <n v="45"/>
    <x v="1"/>
    <s v="Travel_Rarely"/>
    <n v="1457"/>
    <x v="1"/>
    <x v="15"/>
    <n v="3"/>
    <s v="Medical"/>
    <n v="1"/>
    <n v="1195"/>
    <n v="1"/>
    <x v="0"/>
    <n v="83"/>
    <n v="3"/>
    <x v="1"/>
    <x v="1"/>
    <n v="3"/>
    <s v="Married"/>
    <n v="4477"/>
    <n v="20100"/>
    <n v="4"/>
    <s v="Y"/>
    <x v="0"/>
    <n v="19"/>
    <n v="3"/>
    <n v="3"/>
    <n v="80"/>
    <n v="1"/>
    <n v="7"/>
    <n v="2"/>
    <n v="2"/>
    <x v="11"/>
    <n v="2"/>
    <n v="0"/>
    <n v="2"/>
  </r>
  <r>
    <n v="37"/>
    <x v="1"/>
    <s v="Travel_Rarely"/>
    <n v="977"/>
    <x v="1"/>
    <x v="0"/>
    <n v="3"/>
    <s v="Life Sciences"/>
    <n v="1"/>
    <n v="1196"/>
    <n v="4"/>
    <x v="0"/>
    <n v="56"/>
    <n v="2"/>
    <x v="0"/>
    <x v="3"/>
    <n v="4"/>
    <s v="Married"/>
    <n v="6474"/>
    <n v="9961"/>
    <n v="1"/>
    <s v="Y"/>
    <x v="1"/>
    <n v="13"/>
    <n v="3"/>
    <n v="2"/>
    <n v="80"/>
    <n v="1"/>
    <n v="14"/>
    <n v="2"/>
    <n v="2"/>
    <x v="13"/>
    <n v="8"/>
    <n v="3"/>
    <n v="11"/>
  </r>
  <r>
    <n v="20"/>
    <x v="1"/>
    <s v="Travel_Rarely"/>
    <n v="805"/>
    <x v="1"/>
    <x v="3"/>
    <n v="3"/>
    <s v="Life Sciences"/>
    <n v="1"/>
    <n v="1198"/>
    <n v="1"/>
    <x v="1"/>
    <n v="87"/>
    <n v="2"/>
    <x v="1"/>
    <x v="2"/>
    <n v="3"/>
    <s v="Single"/>
    <n v="3033"/>
    <n v="12828"/>
    <n v="1"/>
    <s v="Y"/>
    <x v="1"/>
    <n v="12"/>
    <n v="3"/>
    <n v="1"/>
    <n v="80"/>
    <n v="0"/>
    <n v="2"/>
    <n v="2"/>
    <n v="2"/>
    <x v="4"/>
    <n v="2"/>
    <n v="1"/>
    <n v="2"/>
  </r>
  <r>
    <n v="44"/>
    <x v="0"/>
    <s v="Travel_Rarely"/>
    <n v="1097"/>
    <x v="1"/>
    <x v="17"/>
    <n v="4"/>
    <s v="Life Sciences"/>
    <n v="1"/>
    <n v="1200"/>
    <n v="3"/>
    <x v="1"/>
    <n v="96"/>
    <n v="3"/>
    <x v="1"/>
    <x v="1"/>
    <n v="3"/>
    <s v="Single"/>
    <n v="2936"/>
    <n v="10826"/>
    <n v="1"/>
    <s v="Y"/>
    <x v="0"/>
    <n v="11"/>
    <n v="3"/>
    <n v="3"/>
    <n v="80"/>
    <n v="0"/>
    <n v="6"/>
    <n v="4"/>
    <n v="3"/>
    <x v="0"/>
    <n v="4"/>
    <n v="0"/>
    <n v="2"/>
  </r>
  <r>
    <n v="53"/>
    <x v="1"/>
    <s v="Travel_Rarely"/>
    <n v="1223"/>
    <x v="1"/>
    <x v="15"/>
    <n v="2"/>
    <s v="Medical"/>
    <n v="1"/>
    <n v="1201"/>
    <n v="4"/>
    <x v="0"/>
    <n v="50"/>
    <n v="3"/>
    <x v="4"/>
    <x v="5"/>
    <n v="3"/>
    <s v="Divorced"/>
    <n v="18606"/>
    <n v="18640"/>
    <n v="3"/>
    <s v="Y"/>
    <x v="1"/>
    <n v="18"/>
    <n v="3"/>
    <n v="2"/>
    <n v="80"/>
    <n v="1"/>
    <n v="26"/>
    <n v="6"/>
    <n v="3"/>
    <x v="5"/>
    <n v="7"/>
    <n v="4"/>
    <n v="7"/>
  </r>
  <r>
    <n v="29"/>
    <x v="1"/>
    <s v="Travel_Rarely"/>
    <n v="942"/>
    <x v="1"/>
    <x v="8"/>
    <n v="1"/>
    <s v="Life Sciences"/>
    <n v="1"/>
    <n v="1202"/>
    <n v="2"/>
    <x v="0"/>
    <n v="69"/>
    <n v="1"/>
    <x v="1"/>
    <x v="1"/>
    <n v="4"/>
    <s v="Married"/>
    <n v="2168"/>
    <n v="26933"/>
    <n v="0"/>
    <s v="Y"/>
    <x v="0"/>
    <n v="18"/>
    <n v="3"/>
    <n v="1"/>
    <n v="80"/>
    <n v="1"/>
    <n v="6"/>
    <n v="2"/>
    <n v="2"/>
    <x v="8"/>
    <n v="4"/>
    <n v="1"/>
    <n v="3"/>
  </r>
  <r>
    <n v="22"/>
    <x v="0"/>
    <s v="Travel_Frequently"/>
    <n v="1256"/>
    <x v="1"/>
    <x v="3"/>
    <n v="4"/>
    <s v="Life Sciences"/>
    <n v="1"/>
    <n v="1203"/>
    <n v="3"/>
    <x v="1"/>
    <n v="48"/>
    <n v="2"/>
    <x v="1"/>
    <x v="1"/>
    <n v="4"/>
    <s v="Married"/>
    <n v="2853"/>
    <n v="4223"/>
    <n v="0"/>
    <s v="Y"/>
    <x v="0"/>
    <n v="11"/>
    <n v="3"/>
    <n v="2"/>
    <n v="80"/>
    <n v="1"/>
    <n v="1"/>
    <n v="5"/>
    <n v="3"/>
    <x v="2"/>
    <n v="0"/>
    <n v="0"/>
    <n v="0"/>
  </r>
  <r>
    <n v="46"/>
    <x v="1"/>
    <s v="Travel_Rarely"/>
    <n v="1402"/>
    <x v="0"/>
    <x v="2"/>
    <n v="3"/>
    <s v="Marketing"/>
    <n v="1"/>
    <n v="1204"/>
    <n v="3"/>
    <x v="0"/>
    <n v="69"/>
    <n v="3"/>
    <x v="3"/>
    <x v="5"/>
    <n v="1"/>
    <s v="Married"/>
    <n v="17048"/>
    <n v="24097"/>
    <n v="8"/>
    <s v="Y"/>
    <x v="1"/>
    <n v="23"/>
    <n v="4"/>
    <n v="1"/>
    <n v="80"/>
    <n v="0"/>
    <n v="28"/>
    <n v="2"/>
    <n v="3"/>
    <x v="34"/>
    <n v="15"/>
    <n v="15"/>
    <n v="9"/>
  </r>
  <r>
    <n v="44"/>
    <x v="1"/>
    <s v="Non-Travel"/>
    <n v="111"/>
    <x v="1"/>
    <x v="27"/>
    <n v="3"/>
    <s v="Life Sciences"/>
    <n v="1"/>
    <n v="1206"/>
    <n v="4"/>
    <x v="1"/>
    <n v="74"/>
    <n v="1"/>
    <x v="1"/>
    <x v="1"/>
    <n v="3"/>
    <s v="Single"/>
    <n v="2290"/>
    <n v="4279"/>
    <n v="2"/>
    <s v="Y"/>
    <x v="1"/>
    <n v="13"/>
    <n v="3"/>
    <n v="4"/>
    <n v="80"/>
    <n v="0"/>
    <n v="6"/>
    <n v="3"/>
    <n v="3"/>
    <x v="2"/>
    <n v="0"/>
    <n v="0"/>
    <n v="0"/>
  </r>
  <r>
    <n v="33"/>
    <x v="1"/>
    <s v="Travel_Rarely"/>
    <n v="147"/>
    <x v="2"/>
    <x v="2"/>
    <n v="3"/>
    <s v="Human Resources"/>
    <n v="1"/>
    <n v="1207"/>
    <n v="2"/>
    <x v="1"/>
    <n v="99"/>
    <n v="3"/>
    <x v="1"/>
    <x v="8"/>
    <n v="3"/>
    <s v="Married"/>
    <n v="3600"/>
    <n v="8429"/>
    <n v="1"/>
    <s v="Y"/>
    <x v="1"/>
    <n v="13"/>
    <n v="3"/>
    <n v="4"/>
    <n v="80"/>
    <n v="1"/>
    <n v="5"/>
    <n v="2"/>
    <n v="3"/>
    <x v="8"/>
    <n v="4"/>
    <n v="1"/>
    <n v="4"/>
  </r>
  <r>
    <n v="41"/>
    <x v="0"/>
    <s v="Non-Travel"/>
    <n v="906"/>
    <x v="1"/>
    <x v="12"/>
    <n v="2"/>
    <s v="Life Sciences"/>
    <n v="1"/>
    <n v="1210"/>
    <n v="1"/>
    <x v="1"/>
    <n v="95"/>
    <n v="2"/>
    <x v="1"/>
    <x v="1"/>
    <n v="1"/>
    <s v="Divorced"/>
    <n v="2107"/>
    <n v="20293"/>
    <n v="6"/>
    <s v="Y"/>
    <x v="1"/>
    <n v="17"/>
    <n v="3"/>
    <n v="1"/>
    <n v="80"/>
    <n v="1"/>
    <n v="5"/>
    <n v="2"/>
    <n v="1"/>
    <x v="6"/>
    <n v="0"/>
    <n v="0"/>
    <n v="0"/>
  </r>
  <r>
    <n v="30"/>
    <x v="1"/>
    <s v="Travel_Rarely"/>
    <n v="1329"/>
    <x v="0"/>
    <x v="22"/>
    <n v="4"/>
    <s v="Life Sciences"/>
    <n v="1"/>
    <n v="1211"/>
    <n v="3"/>
    <x v="1"/>
    <n v="61"/>
    <n v="3"/>
    <x v="0"/>
    <x v="0"/>
    <n v="1"/>
    <s v="Divorced"/>
    <n v="4115"/>
    <n v="13192"/>
    <n v="8"/>
    <s v="Y"/>
    <x v="1"/>
    <n v="19"/>
    <n v="3"/>
    <n v="3"/>
    <n v="80"/>
    <n v="3"/>
    <n v="8"/>
    <n v="3"/>
    <n v="3"/>
    <x v="9"/>
    <n v="3"/>
    <n v="0"/>
    <n v="3"/>
  </r>
  <r>
    <n v="40"/>
    <x v="1"/>
    <s v="Travel_Frequently"/>
    <n v="1184"/>
    <x v="0"/>
    <x v="2"/>
    <n v="4"/>
    <s v="Medical"/>
    <n v="1"/>
    <n v="1212"/>
    <n v="2"/>
    <x v="1"/>
    <n v="62"/>
    <n v="3"/>
    <x v="0"/>
    <x v="0"/>
    <n v="2"/>
    <s v="Married"/>
    <n v="4327"/>
    <n v="25440"/>
    <n v="5"/>
    <s v="Y"/>
    <x v="1"/>
    <n v="12"/>
    <n v="3"/>
    <n v="4"/>
    <n v="80"/>
    <n v="3"/>
    <n v="5"/>
    <n v="2"/>
    <n v="3"/>
    <x v="2"/>
    <n v="0"/>
    <n v="0"/>
    <n v="0"/>
  </r>
  <r>
    <n v="50"/>
    <x v="1"/>
    <s v="Travel_Frequently"/>
    <n v="1421"/>
    <x v="1"/>
    <x v="2"/>
    <n v="3"/>
    <s v="Medical"/>
    <n v="1"/>
    <n v="1215"/>
    <n v="4"/>
    <x v="0"/>
    <n v="30"/>
    <n v="3"/>
    <x v="3"/>
    <x v="5"/>
    <n v="1"/>
    <s v="Married"/>
    <n v="17856"/>
    <n v="9490"/>
    <n v="2"/>
    <s v="Y"/>
    <x v="1"/>
    <n v="22"/>
    <n v="4"/>
    <n v="3"/>
    <n v="80"/>
    <n v="1"/>
    <n v="32"/>
    <n v="3"/>
    <n v="3"/>
    <x v="4"/>
    <n v="2"/>
    <n v="2"/>
    <n v="2"/>
  </r>
  <r>
    <n v="28"/>
    <x v="1"/>
    <s v="Travel_Rarely"/>
    <n v="1179"/>
    <x v="1"/>
    <x v="10"/>
    <n v="4"/>
    <s v="Medical"/>
    <n v="1"/>
    <n v="1216"/>
    <n v="4"/>
    <x v="1"/>
    <n v="78"/>
    <n v="2"/>
    <x v="1"/>
    <x v="2"/>
    <n v="1"/>
    <s v="Married"/>
    <n v="3196"/>
    <n v="12449"/>
    <n v="1"/>
    <s v="Y"/>
    <x v="1"/>
    <n v="12"/>
    <n v="3"/>
    <n v="3"/>
    <n v="80"/>
    <n v="3"/>
    <n v="6"/>
    <n v="2"/>
    <n v="3"/>
    <x v="0"/>
    <n v="5"/>
    <n v="3"/>
    <n v="3"/>
  </r>
  <r>
    <n v="46"/>
    <x v="1"/>
    <s v="Travel_Rarely"/>
    <n v="1450"/>
    <x v="1"/>
    <x v="8"/>
    <n v="2"/>
    <s v="Life Sciences"/>
    <n v="1"/>
    <n v="1217"/>
    <n v="4"/>
    <x v="1"/>
    <n v="52"/>
    <n v="3"/>
    <x v="4"/>
    <x v="7"/>
    <n v="2"/>
    <s v="Married"/>
    <n v="19081"/>
    <n v="10849"/>
    <n v="5"/>
    <s v="Y"/>
    <x v="1"/>
    <n v="11"/>
    <n v="3"/>
    <n v="1"/>
    <n v="80"/>
    <n v="1"/>
    <n v="25"/>
    <n v="2"/>
    <n v="3"/>
    <x v="9"/>
    <n v="2"/>
    <n v="0"/>
    <n v="3"/>
  </r>
  <r>
    <n v="35"/>
    <x v="1"/>
    <s v="Travel_Rarely"/>
    <n v="1361"/>
    <x v="0"/>
    <x v="27"/>
    <n v="4"/>
    <s v="Life Sciences"/>
    <n v="1"/>
    <n v="1218"/>
    <n v="3"/>
    <x v="1"/>
    <n v="94"/>
    <n v="3"/>
    <x v="0"/>
    <x v="0"/>
    <n v="1"/>
    <s v="Married"/>
    <n v="8966"/>
    <n v="21026"/>
    <n v="3"/>
    <s v="Y"/>
    <x v="0"/>
    <n v="15"/>
    <n v="3"/>
    <n v="4"/>
    <n v="80"/>
    <n v="3"/>
    <n v="15"/>
    <n v="2"/>
    <n v="3"/>
    <x v="5"/>
    <n v="7"/>
    <n v="1"/>
    <n v="7"/>
  </r>
  <r>
    <n v="24"/>
    <x v="0"/>
    <s v="Travel_Rarely"/>
    <n v="984"/>
    <x v="1"/>
    <x v="27"/>
    <n v="2"/>
    <s v="Life Sciences"/>
    <n v="1"/>
    <n v="1219"/>
    <n v="4"/>
    <x v="0"/>
    <n v="97"/>
    <n v="3"/>
    <x v="1"/>
    <x v="2"/>
    <n v="2"/>
    <s v="Married"/>
    <n v="2210"/>
    <n v="3372"/>
    <n v="1"/>
    <s v="Y"/>
    <x v="1"/>
    <n v="13"/>
    <n v="3"/>
    <n v="1"/>
    <n v="80"/>
    <n v="1"/>
    <n v="1"/>
    <n v="3"/>
    <n v="1"/>
    <x v="6"/>
    <n v="0"/>
    <n v="0"/>
    <n v="0"/>
  </r>
  <r>
    <n v="33"/>
    <x v="1"/>
    <s v="Travel_Frequently"/>
    <n v="1146"/>
    <x v="0"/>
    <x v="19"/>
    <n v="3"/>
    <s v="Medical"/>
    <n v="1"/>
    <n v="1220"/>
    <n v="2"/>
    <x v="0"/>
    <n v="82"/>
    <n v="3"/>
    <x v="0"/>
    <x v="0"/>
    <n v="3"/>
    <s v="Married"/>
    <n v="4539"/>
    <n v="4905"/>
    <n v="1"/>
    <s v="Y"/>
    <x v="1"/>
    <n v="12"/>
    <n v="3"/>
    <n v="1"/>
    <n v="80"/>
    <n v="1"/>
    <n v="10"/>
    <n v="3"/>
    <n v="2"/>
    <x v="1"/>
    <n v="7"/>
    <n v="0"/>
    <n v="1"/>
  </r>
  <r>
    <n v="36"/>
    <x v="1"/>
    <s v="Travel_Rarely"/>
    <n v="917"/>
    <x v="1"/>
    <x v="16"/>
    <n v="4"/>
    <s v="Life Sciences"/>
    <n v="1"/>
    <n v="1221"/>
    <n v="3"/>
    <x v="1"/>
    <n v="60"/>
    <n v="1"/>
    <x v="1"/>
    <x v="2"/>
    <n v="3"/>
    <s v="Divorced"/>
    <n v="2741"/>
    <n v="6865"/>
    <n v="1"/>
    <s v="Y"/>
    <x v="1"/>
    <n v="14"/>
    <n v="3"/>
    <n v="3"/>
    <n v="80"/>
    <n v="1"/>
    <n v="7"/>
    <n v="4"/>
    <n v="3"/>
    <x v="5"/>
    <n v="7"/>
    <n v="1"/>
    <n v="7"/>
  </r>
  <r>
    <n v="30"/>
    <x v="1"/>
    <s v="Travel_Rarely"/>
    <n v="853"/>
    <x v="1"/>
    <x v="15"/>
    <n v="4"/>
    <s v="Life Sciences"/>
    <n v="1"/>
    <n v="1224"/>
    <n v="3"/>
    <x v="1"/>
    <n v="49"/>
    <n v="3"/>
    <x v="0"/>
    <x v="2"/>
    <n v="3"/>
    <s v="Divorced"/>
    <n v="3491"/>
    <n v="11309"/>
    <n v="1"/>
    <s v="Y"/>
    <x v="1"/>
    <n v="13"/>
    <n v="3"/>
    <n v="1"/>
    <n v="80"/>
    <n v="3"/>
    <n v="10"/>
    <n v="4"/>
    <n v="2"/>
    <x v="1"/>
    <n v="7"/>
    <n v="8"/>
    <n v="9"/>
  </r>
  <r>
    <n v="44"/>
    <x v="1"/>
    <s v="Travel_Rarely"/>
    <n v="200"/>
    <x v="1"/>
    <x v="22"/>
    <n v="4"/>
    <s v="Other"/>
    <n v="1"/>
    <n v="1225"/>
    <n v="4"/>
    <x v="1"/>
    <n v="32"/>
    <n v="3"/>
    <x v="0"/>
    <x v="1"/>
    <n v="4"/>
    <s v="Single"/>
    <n v="4541"/>
    <n v="7744"/>
    <n v="1"/>
    <s v="Y"/>
    <x v="1"/>
    <n v="25"/>
    <n v="4"/>
    <n v="2"/>
    <n v="80"/>
    <n v="0"/>
    <n v="20"/>
    <n v="3"/>
    <n v="3"/>
    <x v="23"/>
    <n v="11"/>
    <n v="13"/>
    <n v="17"/>
  </r>
  <r>
    <n v="20"/>
    <x v="1"/>
    <s v="Travel_Rarely"/>
    <n v="654"/>
    <x v="0"/>
    <x v="11"/>
    <n v="3"/>
    <s v="Marketing"/>
    <n v="1"/>
    <n v="1226"/>
    <n v="3"/>
    <x v="1"/>
    <n v="43"/>
    <n v="4"/>
    <x v="1"/>
    <x v="6"/>
    <n v="4"/>
    <s v="Single"/>
    <n v="2678"/>
    <n v="5050"/>
    <n v="1"/>
    <s v="Y"/>
    <x v="1"/>
    <n v="17"/>
    <n v="3"/>
    <n v="4"/>
    <n v="80"/>
    <n v="0"/>
    <n v="2"/>
    <n v="2"/>
    <n v="3"/>
    <x v="4"/>
    <n v="1"/>
    <n v="2"/>
    <n v="2"/>
  </r>
  <r>
    <n v="46"/>
    <x v="1"/>
    <s v="Travel_Rarely"/>
    <n v="150"/>
    <x v="1"/>
    <x v="2"/>
    <n v="4"/>
    <s v="Technical Degree"/>
    <n v="1"/>
    <n v="1228"/>
    <n v="4"/>
    <x v="1"/>
    <n v="60"/>
    <n v="3"/>
    <x v="0"/>
    <x v="3"/>
    <n v="4"/>
    <s v="Divorced"/>
    <n v="7379"/>
    <n v="17433"/>
    <n v="2"/>
    <s v="Y"/>
    <x v="1"/>
    <n v="11"/>
    <n v="3"/>
    <n v="3"/>
    <n v="80"/>
    <n v="1"/>
    <n v="12"/>
    <n v="3"/>
    <n v="2"/>
    <x v="0"/>
    <n v="3"/>
    <n v="1"/>
    <n v="4"/>
  </r>
  <r>
    <n v="42"/>
    <x v="1"/>
    <s v="Non-Travel"/>
    <n v="179"/>
    <x v="2"/>
    <x v="2"/>
    <n v="5"/>
    <s v="Medical"/>
    <n v="1"/>
    <n v="1231"/>
    <n v="4"/>
    <x v="1"/>
    <n v="79"/>
    <n v="4"/>
    <x v="0"/>
    <x v="8"/>
    <n v="1"/>
    <s v="Married"/>
    <n v="6272"/>
    <n v="12858"/>
    <n v="7"/>
    <s v="Y"/>
    <x v="1"/>
    <n v="16"/>
    <n v="3"/>
    <n v="1"/>
    <n v="80"/>
    <n v="1"/>
    <n v="10"/>
    <n v="3"/>
    <n v="4"/>
    <x v="9"/>
    <n v="3"/>
    <n v="0"/>
    <n v="3"/>
  </r>
  <r>
    <n v="60"/>
    <x v="1"/>
    <s v="Travel_Rarely"/>
    <n v="696"/>
    <x v="0"/>
    <x v="15"/>
    <n v="4"/>
    <s v="Marketing"/>
    <n v="1"/>
    <n v="1233"/>
    <n v="2"/>
    <x v="1"/>
    <n v="52"/>
    <n v="4"/>
    <x v="0"/>
    <x v="0"/>
    <n v="4"/>
    <s v="Divorced"/>
    <n v="5220"/>
    <n v="10893"/>
    <n v="0"/>
    <s v="Y"/>
    <x v="0"/>
    <n v="18"/>
    <n v="3"/>
    <n v="2"/>
    <n v="80"/>
    <n v="1"/>
    <n v="12"/>
    <n v="3"/>
    <n v="3"/>
    <x v="19"/>
    <n v="7"/>
    <n v="1"/>
    <n v="9"/>
  </r>
  <r>
    <n v="32"/>
    <x v="1"/>
    <s v="Travel_Frequently"/>
    <n v="116"/>
    <x v="1"/>
    <x v="28"/>
    <n v="3"/>
    <s v="Other"/>
    <n v="1"/>
    <n v="1234"/>
    <n v="3"/>
    <x v="0"/>
    <n v="77"/>
    <n v="2"/>
    <x v="1"/>
    <x v="2"/>
    <n v="2"/>
    <s v="Married"/>
    <n v="2743"/>
    <n v="7331"/>
    <n v="1"/>
    <s v="Y"/>
    <x v="1"/>
    <n v="20"/>
    <n v="4"/>
    <n v="3"/>
    <n v="80"/>
    <n v="1"/>
    <n v="2"/>
    <n v="2"/>
    <n v="3"/>
    <x v="4"/>
    <n v="2"/>
    <n v="2"/>
    <n v="2"/>
  </r>
  <r>
    <n v="32"/>
    <x v="1"/>
    <s v="Travel_Frequently"/>
    <n v="1316"/>
    <x v="1"/>
    <x v="2"/>
    <n v="2"/>
    <s v="Life Sciences"/>
    <n v="1"/>
    <n v="1235"/>
    <n v="4"/>
    <x v="0"/>
    <n v="38"/>
    <n v="3"/>
    <x v="0"/>
    <x v="1"/>
    <n v="3"/>
    <s v="Single"/>
    <n v="4998"/>
    <n v="2338"/>
    <n v="4"/>
    <s v="Y"/>
    <x v="0"/>
    <n v="14"/>
    <n v="3"/>
    <n v="4"/>
    <n v="80"/>
    <n v="0"/>
    <n v="10"/>
    <n v="2"/>
    <n v="3"/>
    <x v="3"/>
    <n v="7"/>
    <n v="0"/>
    <n v="7"/>
  </r>
  <r>
    <n v="36"/>
    <x v="1"/>
    <s v="Travel_Rarely"/>
    <n v="363"/>
    <x v="1"/>
    <x v="0"/>
    <n v="3"/>
    <s v="Technical Degree"/>
    <n v="1"/>
    <n v="1237"/>
    <n v="3"/>
    <x v="0"/>
    <n v="77"/>
    <n v="1"/>
    <x v="2"/>
    <x v="3"/>
    <n v="1"/>
    <s v="Divorced"/>
    <n v="10252"/>
    <n v="4235"/>
    <n v="2"/>
    <s v="Y"/>
    <x v="0"/>
    <n v="21"/>
    <n v="4"/>
    <n v="3"/>
    <n v="80"/>
    <n v="1"/>
    <n v="17"/>
    <n v="2"/>
    <n v="3"/>
    <x v="5"/>
    <n v="7"/>
    <n v="7"/>
    <n v="7"/>
  </r>
  <r>
    <n v="33"/>
    <x v="1"/>
    <s v="Travel_Rarely"/>
    <n v="117"/>
    <x v="1"/>
    <x v="14"/>
    <n v="3"/>
    <s v="Medical"/>
    <n v="1"/>
    <n v="1238"/>
    <n v="1"/>
    <x v="1"/>
    <n v="60"/>
    <n v="3"/>
    <x v="1"/>
    <x v="1"/>
    <n v="4"/>
    <s v="Married"/>
    <n v="2781"/>
    <n v="6311"/>
    <n v="0"/>
    <s v="Y"/>
    <x v="1"/>
    <n v="13"/>
    <n v="3"/>
    <n v="2"/>
    <n v="80"/>
    <n v="1"/>
    <n v="15"/>
    <n v="5"/>
    <n v="3"/>
    <x v="13"/>
    <n v="10"/>
    <n v="4"/>
    <n v="10"/>
  </r>
  <r>
    <n v="40"/>
    <x v="1"/>
    <s v="Travel_Rarely"/>
    <n v="107"/>
    <x v="0"/>
    <x v="17"/>
    <n v="3"/>
    <s v="Technical Degree"/>
    <n v="1"/>
    <n v="1239"/>
    <n v="2"/>
    <x v="0"/>
    <n v="84"/>
    <n v="2"/>
    <x v="0"/>
    <x v="0"/>
    <n v="2"/>
    <s v="Divorced"/>
    <n v="6852"/>
    <n v="11591"/>
    <n v="7"/>
    <s v="Y"/>
    <x v="1"/>
    <n v="12"/>
    <n v="3"/>
    <n v="2"/>
    <n v="80"/>
    <n v="1"/>
    <n v="7"/>
    <n v="2"/>
    <n v="4"/>
    <x v="8"/>
    <n v="1"/>
    <n v="1"/>
    <n v="3"/>
  </r>
  <r>
    <n v="25"/>
    <x v="1"/>
    <s v="Travel_Rarely"/>
    <n v="1356"/>
    <x v="0"/>
    <x v="17"/>
    <n v="4"/>
    <s v="Life Sciences"/>
    <n v="1"/>
    <n v="1240"/>
    <n v="3"/>
    <x v="1"/>
    <n v="57"/>
    <n v="3"/>
    <x v="0"/>
    <x v="0"/>
    <n v="4"/>
    <s v="Single"/>
    <n v="4950"/>
    <n v="20623"/>
    <n v="0"/>
    <s v="Y"/>
    <x v="1"/>
    <n v="14"/>
    <n v="3"/>
    <n v="2"/>
    <n v="80"/>
    <n v="0"/>
    <n v="5"/>
    <n v="4"/>
    <n v="3"/>
    <x v="9"/>
    <n v="3"/>
    <n v="1"/>
    <n v="1"/>
  </r>
  <r>
    <n v="30"/>
    <x v="1"/>
    <s v="Travel_Rarely"/>
    <n v="1465"/>
    <x v="1"/>
    <x v="0"/>
    <n v="3"/>
    <s v="Medical"/>
    <n v="1"/>
    <n v="1241"/>
    <n v="4"/>
    <x v="1"/>
    <n v="63"/>
    <n v="3"/>
    <x v="1"/>
    <x v="1"/>
    <n v="2"/>
    <s v="Married"/>
    <n v="3579"/>
    <n v="9369"/>
    <n v="0"/>
    <s v="Y"/>
    <x v="0"/>
    <n v="21"/>
    <n v="4"/>
    <n v="1"/>
    <n v="80"/>
    <n v="1"/>
    <n v="12"/>
    <n v="2"/>
    <n v="3"/>
    <x v="19"/>
    <n v="9"/>
    <n v="5"/>
    <n v="7"/>
  </r>
  <r>
    <n v="42"/>
    <x v="1"/>
    <s v="Travel_Frequently"/>
    <n v="458"/>
    <x v="1"/>
    <x v="9"/>
    <n v="5"/>
    <s v="Medical"/>
    <n v="1"/>
    <n v="1242"/>
    <n v="1"/>
    <x v="0"/>
    <n v="60"/>
    <n v="3"/>
    <x v="2"/>
    <x v="7"/>
    <n v="1"/>
    <s v="Married"/>
    <n v="13191"/>
    <n v="23281"/>
    <n v="3"/>
    <s v="Y"/>
    <x v="0"/>
    <n v="17"/>
    <n v="3"/>
    <n v="3"/>
    <n v="80"/>
    <n v="0"/>
    <n v="20"/>
    <n v="6"/>
    <n v="3"/>
    <x v="6"/>
    <n v="0"/>
    <n v="0"/>
    <n v="0"/>
  </r>
  <r>
    <n v="35"/>
    <x v="1"/>
    <s v="Non-Travel"/>
    <n v="1212"/>
    <x v="0"/>
    <x v="1"/>
    <n v="2"/>
    <s v="Marketing"/>
    <n v="1"/>
    <n v="1243"/>
    <n v="3"/>
    <x v="0"/>
    <n v="78"/>
    <n v="2"/>
    <x v="2"/>
    <x v="0"/>
    <n v="4"/>
    <s v="Married"/>
    <n v="10377"/>
    <n v="13755"/>
    <n v="4"/>
    <s v="Y"/>
    <x v="0"/>
    <n v="11"/>
    <n v="3"/>
    <n v="2"/>
    <n v="80"/>
    <n v="1"/>
    <n v="16"/>
    <n v="6"/>
    <n v="2"/>
    <x v="20"/>
    <n v="2"/>
    <n v="4"/>
    <n v="12"/>
  </r>
  <r>
    <n v="27"/>
    <x v="1"/>
    <s v="Travel_Rarely"/>
    <n v="1103"/>
    <x v="1"/>
    <x v="24"/>
    <n v="3"/>
    <s v="Life Sciences"/>
    <n v="1"/>
    <n v="1244"/>
    <n v="1"/>
    <x v="1"/>
    <n v="42"/>
    <n v="3"/>
    <x v="1"/>
    <x v="1"/>
    <n v="1"/>
    <s v="Married"/>
    <n v="2235"/>
    <n v="14377"/>
    <n v="1"/>
    <s v="Y"/>
    <x v="0"/>
    <n v="14"/>
    <n v="3"/>
    <n v="4"/>
    <n v="80"/>
    <n v="2"/>
    <n v="9"/>
    <n v="3"/>
    <n v="2"/>
    <x v="7"/>
    <n v="7"/>
    <n v="6"/>
    <n v="8"/>
  </r>
  <r>
    <n v="54"/>
    <x v="1"/>
    <s v="Travel_Frequently"/>
    <n v="966"/>
    <x v="1"/>
    <x v="0"/>
    <n v="4"/>
    <s v="Life Sciences"/>
    <n v="1"/>
    <n v="1245"/>
    <n v="4"/>
    <x v="0"/>
    <n v="53"/>
    <n v="3"/>
    <x v="2"/>
    <x v="3"/>
    <n v="3"/>
    <s v="Divorced"/>
    <n v="10502"/>
    <n v="9659"/>
    <n v="7"/>
    <s v="Y"/>
    <x v="1"/>
    <n v="17"/>
    <n v="3"/>
    <n v="1"/>
    <n v="80"/>
    <n v="1"/>
    <n v="33"/>
    <n v="2"/>
    <n v="1"/>
    <x v="8"/>
    <n v="4"/>
    <n v="1"/>
    <n v="4"/>
  </r>
  <r>
    <n v="44"/>
    <x v="1"/>
    <s v="Travel_Rarely"/>
    <n v="1117"/>
    <x v="1"/>
    <x v="2"/>
    <n v="1"/>
    <s v="Life Sciences"/>
    <n v="1"/>
    <n v="1246"/>
    <n v="1"/>
    <x v="0"/>
    <n v="72"/>
    <n v="4"/>
    <x v="1"/>
    <x v="1"/>
    <n v="4"/>
    <s v="Married"/>
    <n v="2011"/>
    <n v="19982"/>
    <n v="1"/>
    <s v="Y"/>
    <x v="1"/>
    <n v="13"/>
    <n v="3"/>
    <n v="4"/>
    <n v="80"/>
    <n v="1"/>
    <n v="10"/>
    <n v="5"/>
    <n v="3"/>
    <x v="1"/>
    <n v="5"/>
    <n v="7"/>
    <n v="7"/>
  </r>
  <r>
    <n v="19"/>
    <x v="0"/>
    <s v="Non-Travel"/>
    <n v="504"/>
    <x v="1"/>
    <x v="17"/>
    <n v="3"/>
    <s v="Medical"/>
    <n v="1"/>
    <n v="1248"/>
    <n v="1"/>
    <x v="0"/>
    <n v="96"/>
    <n v="2"/>
    <x v="1"/>
    <x v="1"/>
    <n v="2"/>
    <s v="Single"/>
    <n v="1859"/>
    <n v="6148"/>
    <n v="1"/>
    <s v="Y"/>
    <x v="0"/>
    <n v="25"/>
    <n v="4"/>
    <n v="2"/>
    <n v="80"/>
    <n v="0"/>
    <n v="1"/>
    <n v="2"/>
    <n v="4"/>
    <x v="6"/>
    <n v="1"/>
    <n v="0"/>
    <n v="0"/>
  </r>
  <r>
    <n v="29"/>
    <x v="1"/>
    <s v="Travel_Rarely"/>
    <n v="1010"/>
    <x v="1"/>
    <x v="0"/>
    <n v="3"/>
    <s v="Life Sciences"/>
    <n v="1"/>
    <n v="1249"/>
    <n v="1"/>
    <x v="0"/>
    <n v="97"/>
    <n v="3"/>
    <x v="1"/>
    <x v="1"/>
    <n v="4"/>
    <s v="Divorced"/>
    <n v="3760"/>
    <n v="5598"/>
    <n v="1"/>
    <s v="Y"/>
    <x v="1"/>
    <n v="15"/>
    <n v="3"/>
    <n v="1"/>
    <n v="80"/>
    <n v="3"/>
    <n v="3"/>
    <n v="5"/>
    <n v="3"/>
    <x v="11"/>
    <n v="2"/>
    <n v="1"/>
    <n v="2"/>
  </r>
  <r>
    <n v="54"/>
    <x v="1"/>
    <s v="Travel_Rarely"/>
    <n v="685"/>
    <x v="1"/>
    <x v="3"/>
    <n v="3"/>
    <s v="Life Sciences"/>
    <n v="1"/>
    <n v="1250"/>
    <n v="4"/>
    <x v="1"/>
    <n v="85"/>
    <n v="3"/>
    <x v="3"/>
    <x v="7"/>
    <n v="4"/>
    <s v="Married"/>
    <n v="17779"/>
    <n v="23474"/>
    <n v="3"/>
    <s v="Y"/>
    <x v="1"/>
    <n v="14"/>
    <n v="3"/>
    <n v="1"/>
    <n v="80"/>
    <n v="0"/>
    <n v="36"/>
    <n v="2"/>
    <n v="3"/>
    <x v="1"/>
    <n v="9"/>
    <n v="0"/>
    <n v="9"/>
  </r>
  <r>
    <n v="31"/>
    <x v="1"/>
    <s v="Travel_Rarely"/>
    <n v="1332"/>
    <x v="1"/>
    <x v="13"/>
    <n v="2"/>
    <s v="Medical"/>
    <n v="1"/>
    <n v="1251"/>
    <n v="3"/>
    <x v="1"/>
    <n v="80"/>
    <n v="3"/>
    <x v="0"/>
    <x v="4"/>
    <n v="1"/>
    <s v="Married"/>
    <n v="6833"/>
    <n v="17089"/>
    <n v="1"/>
    <s v="Y"/>
    <x v="0"/>
    <n v="12"/>
    <n v="3"/>
    <n v="4"/>
    <n v="80"/>
    <n v="0"/>
    <n v="6"/>
    <n v="2"/>
    <n v="2"/>
    <x v="0"/>
    <n v="5"/>
    <n v="0"/>
    <n v="1"/>
  </r>
  <r>
    <n v="31"/>
    <x v="1"/>
    <s v="Travel_Rarely"/>
    <n v="1062"/>
    <x v="1"/>
    <x v="4"/>
    <n v="3"/>
    <s v="Medical"/>
    <n v="1"/>
    <n v="1252"/>
    <n v="3"/>
    <x v="0"/>
    <n v="96"/>
    <n v="2"/>
    <x v="0"/>
    <x v="4"/>
    <n v="1"/>
    <s v="Single"/>
    <n v="6812"/>
    <n v="17198"/>
    <n v="1"/>
    <s v="Y"/>
    <x v="1"/>
    <n v="19"/>
    <n v="3"/>
    <n v="2"/>
    <n v="80"/>
    <n v="0"/>
    <n v="10"/>
    <n v="2"/>
    <n v="3"/>
    <x v="1"/>
    <n v="9"/>
    <n v="1"/>
    <n v="8"/>
  </r>
  <r>
    <n v="59"/>
    <x v="1"/>
    <s v="Travel_Rarely"/>
    <n v="326"/>
    <x v="0"/>
    <x v="3"/>
    <n v="3"/>
    <s v="Life Sciences"/>
    <n v="1"/>
    <n v="1254"/>
    <n v="3"/>
    <x v="0"/>
    <n v="48"/>
    <n v="2"/>
    <x v="0"/>
    <x v="0"/>
    <n v="4"/>
    <s v="Single"/>
    <n v="5171"/>
    <n v="16490"/>
    <n v="5"/>
    <s v="Y"/>
    <x v="1"/>
    <n v="17"/>
    <n v="3"/>
    <n v="4"/>
    <n v="80"/>
    <n v="0"/>
    <n v="13"/>
    <n v="2"/>
    <n v="3"/>
    <x v="0"/>
    <n v="1"/>
    <n v="0"/>
    <n v="5"/>
  </r>
  <r>
    <n v="43"/>
    <x v="1"/>
    <s v="Travel_Rarely"/>
    <n v="920"/>
    <x v="1"/>
    <x v="3"/>
    <n v="3"/>
    <s v="Life Sciences"/>
    <n v="1"/>
    <n v="1255"/>
    <n v="3"/>
    <x v="1"/>
    <n v="96"/>
    <n v="1"/>
    <x v="4"/>
    <x v="7"/>
    <n v="4"/>
    <s v="Married"/>
    <n v="19740"/>
    <n v="18625"/>
    <n v="3"/>
    <s v="Y"/>
    <x v="1"/>
    <n v="14"/>
    <n v="3"/>
    <n v="2"/>
    <n v="80"/>
    <n v="1"/>
    <n v="25"/>
    <n v="2"/>
    <n v="3"/>
    <x v="3"/>
    <n v="7"/>
    <n v="0"/>
    <n v="7"/>
  </r>
  <r>
    <n v="49"/>
    <x v="1"/>
    <s v="Travel_Rarely"/>
    <n v="1098"/>
    <x v="1"/>
    <x v="18"/>
    <n v="2"/>
    <s v="Medical"/>
    <n v="1"/>
    <n v="1256"/>
    <n v="1"/>
    <x v="1"/>
    <n v="85"/>
    <n v="2"/>
    <x v="4"/>
    <x v="5"/>
    <n v="3"/>
    <s v="Married"/>
    <n v="18711"/>
    <n v="12124"/>
    <n v="2"/>
    <s v="Y"/>
    <x v="1"/>
    <n v="13"/>
    <n v="3"/>
    <n v="3"/>
    <n v="80"/>
    <n v="1"/>
    <n v="23"/>
    <n v="2"/>
    <n v="4"/>
    <x v="6"/>
    <n v="0"/>
    <n v="0"/>
    <n v="0"/>
  </r>
  <r>
    <n v="36"/>
    <x v="1"/>
    <s v="Travel_Frequently"/>
    <n v="469"/>
    <x v="1"/>
    <x v="3"/>
    <n v="3"/>
    <s v="Technical Degree"/>
    <n v="1"/>
    <n v="1257"/>
    <n v="3"/>
    <x v="1"/>
    <n v="46"/>
    <n v="3"/>
    <x v="1"/>
    <x v="1"/>
    <n v="2"/>
    <s v="Married"/>
    <n v="3692"/>
    <n v="9256"/>
    <n v="1"/>
    <s v="Y"/>
    <x v="1"/>
    <n v="12"/>
    <n v="3"/>
    <n v="3"/>
    <n v="80"/>
    <n v="0"/>
    <n v="12"/>
    <n v="2"/>
    <n v="2"/>
    <x v="19"/>
    <n v="10"/>
    <n v="0"/>
    <n v="7"/>
  </r>
  <r>
    <n v="48"/>
    <x v="1"/>
    <s v="Travel_Rarely"/>
    <n v="969"/>
    <x v="1"/>
    <x v="2"/>
    <n v="2"/>
    <s v="Technical Degree"/>
    <n v="1"/>
    <n v="1258"/>
    <n v="4"/>
    <x v="1"/>
    <n v="76"/>
    <n v="4"/>
    <x v="1"/>
    <x v="2"/>
    <n v="2"/>
    <s v="Single"/>
    <n v="2559"/>
    <n v="16620"/>
    <n v="5"/>
    <s v="Y"/>
    <x v="1"/>
    <n v="11"/>
    <n v="3"/>
    <n v="3"/>
    <n v="80"/>
    <n v="0"/>
    <n v="7"/>
    <n v="4"/>
    <n v="2"/>
    <x v="6"/>
    <n v="0"/>
    <n v="0"/>
    <n v="0"/>
  </r>
  <r>
    <n v="27"/>
    <x v="1"/>
    <s v="Travel_Rarely"/>
    <n v="1167"/>
    <x v="1"/>
    <x v="18"/>
    <n v="2"/>
    <s v="Life Sciences"/>
    <n v="1"/>
    <n v="1259"/>
    <n v="1"/>
    <x v="1"/>
    <n v="76"/>
    <n v="3"/>
    <x v="1"/>
    <x v="1"/>
    <n v="3"/>
    <s v="Divorced"/>
    <n v="2517"/>
    <n v="3208"/>
    <n v="1"/>
    <s v="Y"/>
    <x v="1"/>
    <n v="11"/>
    <n v="3"/>
    <n v="2"/>
    <n v="80"/>
    <n v="3"/>
    <n v="5"/>
    <n v="2"/>
    <n v="3"/>
    <x v="8"/>
    <n v="3"/>
    <n v="0"/>
    <n v="3"/>
  </r>
  <r>
    <n v="29"/>
    <x v="1"/>
    <s v="Travel_Rarely"/>
    <n v="1329"/>
    <x v="1"/>
    <x v="15"/>
    <n v="3"/>
    <s v="Life Sciences"/>
    <n v="1"/>
    <n v="1260"/>
    <n v="3"/>
    <x v="1"/>
    <n v="82"/>
    <n v="3"/>
    <x v="0"/>
    <x v="4"/>
    <n v="4"/>
    <s v="Divorced"/>
    <n v="6623"/>
    <n v="4204"/>
    <n v="1"/>
    <s v="Y"/>
    <x v="0"/>
    <n v="11"/>
    <n v="3"/>
    <n v="2"/>
    <n v="80"/>
    <n v="2"/>
    <n v="6"/>
    <n v="2"/>
    <n v="3"/>
    <x v="0"/>
    <n v="0"/>
    <n v="1"/>
    <n v="0"/>
  </r>
  <r>
    <n v="48"/>
    <x v="1"/>
    <s v="Travel_Rarely"/>
    <n v="715"/>
    <x v="1"/>
    <x v="0"/>
    <n v="3"/>
    <s v="Life Sciences"/>
    <n v="1"/>
    <n v="1263"/>
    <n v="4"/>
    <x v="1"/>
    <n v="76"/>
    <n v="2"/>
    <x v="4"/>
    <x v="7"/>
    <n v="4"/>
    <s v="Single"/>
    <n v="18265"/>
    <n v="8733"/>
    <n v="6"/>
    <s v="Y"/>
    <x v="1"/>
    <n v="12"/>
    <n v="3"/>
    <n v="3"/>
    <n v="80"/>
    <n v="0"/>
    <n v="25"/>
    <n v="3"/>
    <n v="4"/>
    <x v="6"/>
    <n v="0"/>
    <n v="0"/>
    <n v="0"/>
  </r>
  <r>
    <n v="29"/>
    <x v="1"/>
    <s v="Travel_Rarely"/>
    <n v="694"/>
    <x v="1"/>
    <x v="0"/>
    <n v="3"/>
    <s v="Life Sciences"/>
    <n v="1"/>
    <n v="1264"/>
    <n v="4"/>
    <x v="0"/>
    <n v="87"/>
    <n v="2"/>
    <x v="3"/>
    <x v="7"/>
    <n v="4"/>
    <s v="Divorced"/>
    <n v="16124"/>
    <n v="3423"/>
    <n v="3"/>
    <s v="Y"/>
    <x v="1"/>
    <n v="14"/>
    <n v="3"/>
    <n v="2"/>
    <n v="80"/>
    <n v="2"/>
    <n v="9"/>
    <n v="2"/>
    <n v="2"/>
    <x v="5"/>
    <n v="7"/>
    <n v="1"/>
    <n v="7"/>
  </r>
  <r>
    <n v="34"/>
    <x v="1"/>
    <s v="Travel_Rarely"/>
    <n v="1320"/>
    <x v="1"/>
    <x v="25"/>
    <n v="3"/>
    <s v="Technical Degree"/>
    <n v="1"/>
    <n v="1265"/>
    <n v="3"/>
    <x v="0"/>
    <n v="89"/>
    <n v="4"/>
    <x v="1"/>
    <x v="1"/>
    <n v="3"/>
    <s v="Married"/>
    <n v="2585"/>
    <n v="21643"/>
    <n v="0"/>
    <s v="Y"/>
    <x v="1"/>
    <n v="17"/>
    <n v="3"/>
    <n v="4"/>
    <n v="80"/>
    <n v="0"/>
    <n v="2"/>
    <n v="5"/>
    <n v="2"/>
    <x v="6"/>
    <n v="0"/>
    <n v="0"/>
    <n v="0"/>
  </r>
  <r>
    <n v="44"/>
    <x v="1"/>
    <s v="Travel_Rarely"/>
    <n v="1099"/>
    <x v="0"/>
    <x v="12"/>
    <n v="3"/>
    <s v="Marketing"/>
    <n v="1"/>
    <n v="1267"/>
    <n v="2"/>
    <x v="1"/>
    <n v="88"/>
    <n v="3"/>
    <x v="4"/>
    <x v="5"/>
    <n v="2"/>
    <s v="Married"/>
    <n v="18213"/>
    <n v="8751"/>
    <n v="7"/>
    <s v="Y"/>
    <x v="1"/>
    <n v="11"/>
    <n v="3"/>
    <n v="3"/>
    <n v="80"/>
    <n v="1"/>
    <n v="26"/>
    <n v="5"/>
    <n v="3"/>
    <x v="14"/>
    <n v="9"/>
    <n v="3"/>
    <n v="10"/>
  </r>
  <r>
    <n v="33"/>
    <x v="1"/>
    <s v="Travel_Rarely"/>
    <n v="536"/>
    <x v="0"/>
    <x v="17"/>
    <n v="5"/>
    <s v="Marketing"/>
    <n v="1"/>
    <n v="1268"/>
    <n v="4"/>
    <x v="1"/>
    <n v="82"/>
    <n v="4"/>
    <x v="2"/>
    <x v="0"/>
    <n v="3"/>
    <s v="Divorced"/>
    <n v="8380"/>
    <n v="21708"/>
    <n v="0"/>
    <s v="Y"/>
    <x v="0"/>
    <n v="14"/>
    <n v="3"/>
    <n v="4"/>
    <n v="80"/>
    <n v="2"/>
    <n v="10"/>
    <n v="3"/>
    <n v="3"/>
    <x v="7"/>
    <n v="8"/>
    <n v="0"/>
    <n v="8"/>
  </r>
  <r>
    <n v="19"/>
    <x v="1"/>
    <s v="Travel_Rarely"/>
    <n v="265"/>
    <x v="1"/>
    <x v="19"/>
    <n v="3"/>
    <s v="Life Sciences"/>
    <n v="1"/>
    <n v="1269"/>
    <n v="2"/>
    <x v="0"/>
    <n v="57"/>
    <n v="4"/>
    <x v="1"/>
    <x v="1"/>
    <n v="4"/>
    <s v="Single"/>
    <n v="2994"/>
    <n v="21221"/>
    <n v="1"/>
    <s v="Y"/>
    <x v="0"/>
    <n v="12"/>
    <n v="3"/>
    <n v="4"/>
    <n v="80"/>
    <n v="0"/>
    <n v="1"/>
    <n v="2"/>
    <n v="3"/>
    <x v="6"/>
    <n v="0"/>
    <n v="0"/>
    <n v="1"/>
  </r>
  <r>
    <n v="23"/>
    <x v="1"/>
    <s v="Travel_Rarely"/>
    <n v="373"/>
    <x v="1"/>
    <x v="0"/>
    <n v="2"/>
    <s v="Life Sciences"/>
    <n v="1"/>
    <n v="1270"/>
    <n v="4"/>
    <x v="1"/>
    <n v="47"/>
    <n v="3"/>
    <x v="1"/>
    <x v="1"/>
    <n v="3"/>
    <s v="Married"/>
    <n v="1223"/>
    <n v="16901"/>
    <n v="1"/>
    <s v="Y"/>
    <x v="1"/>
    <n v="22"/>
    <n v="4"/>
    <n v="4"/>
    <n v="80"/>
    <n v="1"/>
    <n v="1"/>
    <n v="2"/>
    <n v="3"/>
    <x v="6"/>
    <n v="0"/>
    <n v="0"/>
    <n v="1"/>
  </r>
  <r>
    <n v="25"/>
    <x v="0"/>
    <s v="Travel_Frequently"/>
    <n v="599"/>
    <x v="0"/>
    <x v="4"/>
    <n v="1"/>
    <s v="Life Sciences"/>
    <n v="1"/>
    <n v="1273"/>
    <n v="3"/>
    <x v="1"/>
    <n v="73"/>
    <n v="1"/>
    <x v="1"/>
    <x v="6"/>
    <n v="4"/>
    <s v="Single"/>
    <n v="1118"/>
    <n v="8040"/>
    <n v="1"/>
    <s v="Y"/>
    <x v="0"/>
    <n v="14"/>
    <n v="3"/>
    <n v="4"/>
    <n v="80"/>
    <n v="0"/>
    <n v="1"/>
    <n v="4"/>
    <n v="3"/>
    <x v="6"/>
    <n v="0"/>
    <n v="1"/>
    <n v="0"/>
  </r>
  <r>
    <n v="26"/>
    <x v="1"/>
    <s v="Travel_Rarely"/>
    <n v="583"/>
    <x v="1"/>
    <x v="18"/>
    <n v="2"/>
    <s v="Life Sciences"/>
    <n v="1"/>
    <n v="1275"/>
    <n v="3"/>
    <x v="1"/>
    <n v="53"/>
    <n v="3"/>
    <x v="1"/>
    <x v="1"/>
    <n v="4"/>
    <s v="Single"/>
    <n v="2875"/>
    <n v="9973"/>
    <n v="1"/>
    <s v="Y"/>
    <x v="0"/>
    <n v="20"/>
    <n v="4"/>
    <n v="2"/>
    <n v="80"/>
    <n v="0"/>
    <n v="8"/>
    <n v="2"/>
    <n v="2"/>
    <x v="3"/>
    <n v="5"/>
    <n v="2"/>
    <n v="2"/>
  </r>
  <r>
    <n v="45"/>
    <x v="0"/>
    <s v="Travel_Rarely"/>
    <n v="1449"/>
    <x v="0"/>
    <x v="2"/>
    <n v="3"/>
    <s v="Marketing"/>
    <n v="1"/>
    <n v="1277"/>
    <n v="1"/>
    <x v="0"/>
    <n v="94"/>
    <n v="1"/>
    <x v="4"/>
    <x v="5"/>
    <n v="2"/>
    <s v="Single"/>
    <n v="18824"/>
    <n v="2493"/>
    <n v="2"/>
    <s v="Y"/>
    <x v="0"/>
    <n v="16"/>
    <n v="3"/>
    <n v="1"/>
    <n v="80"/>
    <n v="0"/>
    <n v="26"/>
    <n v="2"/>
    <n v="3"/>
    <x v="25"/>
    <n v="10"/>
    <n v="1"/>
    <n v="11"/>
  </r>
  <r>
    <n v="55"/>
    <x v="1"/>
    <s v="Non-Travel"/>
    <n v="177"/>
    <x v="1"/>
    <x v="1"/>
    <n v="1"/>
    <s v="Medical"/>
    <n v="1"/>
    <n v="1278"/>
    <n v="4"/>
    <x v="1"/>
    <n v="37"/>
    <n v="2"/>
    <x v="3"/>
    <x v="4"/>
    <n v="2"/>
    <s v="Divorced"/>
    <n v="13577"/>
    <n v="25592"/>
    <n v="1"/>
    <s v="Y"/>
    <x v="0"/>
    <n v="15"/>
    <n v="3"/>
    <n v="4"/>
    <n v="80"/>
    <n v="1"/>
    <n v="34"/>
    <n v="3"/>
    <n v="3"/>
    <x v="26"/>
    <n v="9"/>
    <n v="15"/>
    <n v="0"/>
  </r>
  <r>
    <n v="21"/>
    <x v="0"/>
    <s v="Travel_Frequently"/>
    <n v="251"/>
    <x v="1"/>
    <x v="17"/>
    <n v="2"/>
    <s v="Life Sciences"/>
    <n v="1"/>
    <n v="1279"/>
    <n v="1"/>
    <x v="0"/>
    <n v="45"/>
    <n v="2"/>
    <x v="1"/>
    <x v="2"/>
    <n v="3"/>
    <s v="Single"/>
    <n v="2625"/>
    <n v="25308"/>
    <n v="1"/>
    <s v="Y"/>
    <x v="1"/>
    <n v="20"/>
    <n v="4"/>
    <n v="3"/>
    <n v="80"/>
    <n v="0"/>
    <n v="2"/>
    <n v="2"/>
    <n v="1"/>
    <x v="4"/>
    <n v="2"/>
    <n v="2"/>
    <n v="2"/>
  </r>
  <r>
    <n v="46"/>
    <x v="1"/>
    <s v="Travel_Rarely"/>
    <n v="168"/>
    <x v="0"/>
    <x v="18"/>
    <n v="2"/>
    <s v="Marketing"/>
    <n v="1"/>
    <n v="1280"/>
    <n v="4"/>
    <x v="0"/>
    <n v="33"/>
    <n v="2"/>
    <x v="4"/>
    <x v="5"/>
    <n v="2"/>
    <s v="Married"/>
    <n v="18789"/>
    <n v="9946"/>
    <n v="2"/>
    <s v="Y"/>
    <x v="1"/>
    <n v="14"/>
    <n v="3"/>
    <n v="3"/>
    <n v="80"/>
    <n v="1"/>
    <n v="26"/>
    <n v="2"/>
    <n v="3"/>
    <x v="19"/>
    <n v="4"/>
    <n v="0"/>
    <n v="8"/>
  </r>
  <r>
    <n v="34"/>
    <x v="1"/>
    <s v="Travel_Rarely"/>
    <n v="131"/>
    <x v="0"/>
    <x v="2"/>
    <n v="3"/>
    <s v="Marketing"/>
    <n v="1"/>
    <n v="1281"/>
    <n v="3"/>
    <x v="0"/>
    <n v="86"/>
    <n v="3"/>
    <x v="0"/>
    <x v="0"/>
    <n v="1"/>
    <s v="Single"/>
    <n v="4538"/>
    <n v="6039"/>
    <n v="0"/>
    <s v="Y"/>
    <x v="0"/>
    <n v="12"/>
    <n v="3"/>
    <n v="4"/>
    <n v="80"/>
    <n v="0"/>
    <n v="4"/>
    <n v="3"/>
    <n v="3"/>
    <x v="11"/>
    <n v="2"/>
    <n v="0"/>
    <n v="2"/>
  </r>
  <r>
    <n v="51"/>
    <x v="1"/>
    <s v="Travel_Frequently"/>
    <n v="237"/>
    <x v="0"/>
    <x v="14"/>
    <n v="3"/>
    <s v="Life Sciences"/>
    <n v="1"/>
    <n v="1282"/>
    <n v="4"/>
    <x v="1"/>
    <n v="83"/>
    <n v="3"/>
    <x v="4"/>
    <x v="5"/>
    <n v="2"/>
    <s v="Divorced"/>
    <n v="19847"/>
    <n v="19196"/>
    <n v="4"/>
    <s v="Y"/>
    <x v="0"/>
    <n v="24"/>
    <n v="4"/>
    <n v="1"/>
    <n v="80"/>
    <n v="1"/>
    <n v="31"/>
    <n v="5"/>
    <n v="2"/>
    <x v="30"/>
    <n v="10"/>
    <n v="11"/>
    <n v="10"/>
  </r>
  <r>
    <n v="59"/>
    <x v="1"/>
    <s v="Travel_Rarely"/>
    <n v="1429"/>
    <x v="1"/>
    <x v="21"/>
    <n v="4"/>
    <s v="Medical"/>
    <n v="1"/>
    <n v="1283"/>
    <n v="4"/>
    <x v="1"/>
    <n v="67"/>
    <n v="3"/>
    <x v="2"/>
    <x v="3"/>
    <n v="4"/>
    <s v="Single"/>
    <n v="10512"/>
    <n v="20002"/>
    <n v="6"/>
    <s v="Y"/>
    <x v="1"/>
    <n v="12"/>
    <n v="3"/>
    <n v="4"/>
    <n v="80"/>
    <n v="0"/>
    <n v="25"/>
    <n v="6"/>
    <n v="2"/>
    <x v="7"/>
    <n v="7"/>
    <n v="5"/>
    <n v="4"/>
  </r>
  <r>
    <n v="34"/>
    <x v="1"/>
    <s v="Travel_Frequently"/>
    <n v="135"/>
    <x v="1"/>
    <x v="10"/>
    <n v="3"/>
    <s v="Medical"/>
    <n v="1"/>
    <n v="1285"/>
    <n v="3"/>
    <x v="0"/>
    <n v="46"/>
    <n v="3"/>
    <x v="0"/>
    <x v="2"/>
    <n v="2"/>
    <s v="Divorced"/>
    <n v="4444"/>
    <n v="22534"/>
    <n v="4"/>
    <s v="Y"/>
    <x v="1"/>
    <n v="13"/>
    <n v="3"/>
    <n v="3"/>
    <n v="80"/>
    <n v="2"/>
    <n v="15"/>
    <n v="2"/>
    <n v="4"/>
    <x v="19"/>
    <n v="8"/>
    <n v="5"/>
    <n v="10"/>
  </r>
  <r>
    <n v="28"/>
    <x v="1"/>
    <s v="Travel_Frequently"/>
    <n v="791"/>
    <x v="1"/>
    <x v="0"/>
    <n v="4"/>
    <s v="Medical"/>
    <n v="1"/>
    <n v="1286"/>
    <n v="4"/>
    <x v="1"/>
    <n v="44"/>
    <n v="3"/>
    <x v="1"/>
    <x v="2"/>
    <n v="3"/>
    <s v="Single"/>
    <n v="2154"/>
    <n v="6842"/>
    <n v="0"/>
    <s v="Y"/>
    <x v="0"/>
    <n v="11"/>
    <n v="3"/>
    <n v="3"/>
    <n v="80"/>
    <n v="0"/>
    <n v="5"/>
    <n v="2"/>
    <n v="2"/>
    <x v="9"/>
    <n v="2"/>
    <n v="0"/>
    <n v="2"/>
  </r>
  <r>
    <n v="44"/>
    <x v="1"/>
    <s v="Travel_Rarely"/>
    <n v="1199"/>
    <x v="1"/>
    <x v="18"/>
    <n v="2"/>
    <s v="Life Sciences"/>
    <n v="1"/>
    <n v="1288"/>
    <n v="3"/>
    <x v="1"/>
    <n v="92"/>
    <n v="4"/>
    <x v="4"/>
    <x v="5"/>
    <n v="1"/>
    <s v="Divorced"/>
    <n v="19190"/>
    <n v="17477"/>
    <n v="1"/>
    <s v="Y"/>
    <x v="1"/>
    <n v="14"/>
    <n v="3"/>
    <n v="4"/>
    <n v="80"/>
    <n v="2"/>
    <n v="26"/>
    <n v="4"/>
    <n v="2"/>
    <x v="10"/>
    <n v="9"/>
    <n v="14"/>
    <n v="13"/>
  </r>
  <r>
    <n v="34"/>
    <x v="1"/>
    <s v="Travel_Frequently"/>
    <n v="648"/>
    <x v="2"/>
    <x v="13"/>
    <n v="3"/>
    <s v="Life Sciences"/>
    <n v="1"/>
    <n v="1289"/>
    <n v="3"/>
    <x v="1"/>
    <n v="56"/>
    <n v="2"/>
    <x v="0"/>
    <x v="8"/>
    <n v="2"/>
    <s v="Married"/>
    <n v="4490"/>
    <n v="21833"/>
    <n v="4"/>
    <s v="Y"/>
    <x v="1"/>
    <n v="11"/>
    <n v="3"/>
    <n v="4"/>
    <n v="80"/>
    <n v="2"/>
    <n v="14"/>
    <n v="5"/>
    <n v="4"/>
    <x v="1"/>
    <n v="9"/>
    <n v="1"/>
    <n v="8"/>
  </r>
  <r>
    <n v="35"/>
    <x v="1"/>
    <s v="Travel_Rarely"/>
    <n v="735"/>
    <x v="1"/>
    <x v="16"/>
    <n v="1"/>
    <s v="Life Sciences"/>
    <n v="1"/>
    <n v="1291"/>
    <n v="3"/>
    <x v="1"/>
    <n v="66"/>
    <n v="3"/>
    <x v="1"/>
    <x v="1"/>
    <n v="3"/>
    <s v="Married"/>
    <n v="3506"/>
    <n v="6020"/>
    <n v="0"/>
    <s v="Y"/>
    <x v="0"/>
    <n v="14"/>
    <n v="3"/>
    <n v="4"/>
    <n v="80"/>
    <n v="0"/>
    <n v="4"/>
    <n v="3"/>
    <n v="3"/>
    <x v="11"/>
    <n v="2"/>
    <n v="2"/>
    <n v="2"/>
  </r>
  <r>
    <n v="42"/>
    <x v="1"/>
    <s v="Travel_Rarely"/>
    <n v="603"/>
    <x v="1"/>
    <x v="15"/>
    <n v="4"/>
    <s v="Medical"/>
    <n v="1"/>
    <n v="1292"/>
    <n v="2"/>
    <x v="0"/>
    <n v="78"/>
    <n v="4"/>
    <x v="0"/>
    <x v="1"/>
    <n v="2"/>
    <s v="Married"/>
    <n v="2372"/>
    <n v="5628"/>
    <n v="6"/>
    <s v="Y"/>
    <x v="0"/>
    <n v="16"/>
    <n v="3"/>
    <n v="4"/>
    <n v="80"/>
    <n v="0"/>
    <n v="18"/>
    <n v="2"/>
    <n v="3"/>
    <x v="6"/>
    <n v="0"/>
    <n v="0"/>
    <n v="0"/>
  </r>
  <r>
    <n v="43"/>
    <x v="1"/>
    <s v="Travel_Rarely"/>
    <n v="531"/>
    <x v="0"/>
    <x v="18"/>
    <n v="4"/>
    <s v="Marketing"/>
    <n v="1"/>
    <n v="1293"/>
    <n v="4"/>
    <x v="0"/>
    <n v="56"/>
    <n v="2"/>
    <x v="2"/>
    <x v="0"/>
    <n v="4"/>
    <s v="Single"/>
    <n v="10231"/>
    <n v="20364"/>
    <n v="3"/>
    <s v="Y"/>
    <x v="1"/>
    <n v="14"/>
    <n v="3"/>
    <n v="4"/>
    <n v="80"/>
    <n v="0"/>
    <n v="23"/>
    <n v="3"/>
    <n v="4"/>
    <x v="17"/>
    <n v="7"/>
    <n v="15"/>
    <n v="17"/>
  </r>
  <r>
    <n v="36"/>
    <x v="1"/>
    <s v="Travel_Rarely"/>
    <n v="429"/>
    <x v="1"/>
    <x v="2"/>
    <n v="4"/>
    <s v="Life Sciences"/>
    <n v="1"/>
    <n v="1294"/>
    <n v="3"/>
    <x v="0"/>
    <n v="53"/>
    <n v="3"/>
    <x v="0"/>
    <x v="3"/>
    <n v="2"/>
    <s v="Single"/>
    <n v="5410"/>
    <n v="2323"/>
    <n v="9"/>
    <s v="Y"/>
    <x v="0"/>
    <n v="11"/>
    <n v="3"/>
    <n v="4"/>
    <n v="80"/>
    <n v="0"/>
    <n v="18"/>
    <n v="2"/>
    <n v="3"/>
    <x v="22"/>
    <n v="14"/>
    <n v="5"/>
    <n v="12"/>
  </r>
  <r>
    <n v="44"/>
    <x v="0"/>
    <s v="Travel_Rarely"/>
    <n v="621"/>
    <x v="1"/>
    <x v="8"/>
    <n v="3"/>
    <s v="Medical"/>
    <n v="1"/>
    <n v="1295"/>
    <n v="1"/>
    <x v="0"/>
    <n v="73"/>
    <n v="3"/>
    <x v="2"/>
    <x v="4"/>
    <n v="4"/>
    <s v="Married"/>
    <n v="7978"/>
    <n v="14075"/>
    <n v="1"/>
    <s v="Y"/>
    <x v="1"/>
    <n v="11"/>
    <n v="3"/>
    <n v="4"/>
    <n v="80"/>
    <n v="1"/>
    <n v="10"/>
    <n v="2"/>
    <n v="3"/>
    <x v="1"/>
    <n v="7"/>
    <n v="0"/>
    <n v="5"/>
  </r>
  <r>
    <n v="28"/>
    <x v="1"/>
    <s v="Travel_Frequently"/>
    <n v="193"/>
    <x v="1"/>
    <x v="2"/>
    <n v="3"/>
    <s v="Life Sciences"/>
    <n v="1"/>
    <n v="1296"/>
    <n v="4"/>
    <x v="1"/>
    <n v="52"/>
    <n v="2"/>
    <x v="1"/>
    <x v="2"/>
    <n v="4"/>
    <s v="Married"/>
    <n v="3867"/>
    <n v="14222"/>
    <n v="1"/>
    <s v="Y"/>
    <x v="0"/>
    <n v="12"/>
    <n v="3"/>
    <n v="2"/>
    <n v="80"/>
    <n v="1"/>
    <n v="2"/>
    <n v="2"/>
    <n v="3"/>
    <x v="4"/>
    <n v="2"/>
    <n v="2"/>
    <n v="2"/>
  </r>
  <r>
    <n v="51"/>
    <x v="1"/>
    <s v="Travel_Frequently"/>
    <n v="968"/>
    <x v="1"/>
    <x v="16"/>
    <n v="2"/>
    <s v="Medical"/>
    <n v="1"/>
    <n v="1297"/>
    <n v="2"/>
    <x v="0"/>
    <n v="40"/>
    <n v="2"/>
    <x v="1"/>
    <x v="2"/>
    <n v="3"/>
    <s v="Single"/>
    <n v="2838"/>
    <n v="4257"/>
    <n v="0"/>
    <s v="Y"/>
    <x v="1"/>
    <n v="14"/>
    <n v="3"/>
    <n v="2"/>
    <n v="80"/>
    <n v="0"/>
    <n v="8"/>
    <n v="6"/>
    <n v="2"/>
    <x v="5"/>
    <n v="0"/>
    <n v="7"/>
    <n v="7"/>
  </r>
  <r>
    <n v="30"/>
    <x v="1"/>
    <s v="Non-Travel"/>
    <n v="879"/>
    <x v="1"/>
    <x v="14"/>
    <n v="2"/>
    <s v="Medical"/>
    <n v="1"/>
    <n v="1298"/>
    <n v="3"/>
    <x v="0"/>
    <n v="72"/>
    <n v="3"/>
    <x v="0"/>
    <x v="3"/>
    <n v="3"/>
    <s v="Single"/>
    <n v="4695"/>
    <n v="12858"/>
    <n v="7"/>
    <s v="Y"/>
    <x v="0"/>
    <n v="18"/>
    <n v="3"/>
    <n v="3"/>
    <n v="80"/>
    <n v="0"/>
    <n v="10"/>
    <n v="3"/>
    <n v="3"/>
    <x v="3"/>
    <n v="4"/>
    <n v="1"/>
    <n v="7"/>
  </r>
  <r>
    <n v="29"/>
    <x v="0"/>
    <s v="Travel_Rarely"/>
    <n v="806"/>
    <x v="1"/>
    <x v="15"/>
    <n v="3"/>
    <s v="Technical Degree"/>
    <n v="1"/>
    <n v="1299"/>
    <n v="2"/>
    <x v="0"/>
    <n v="39"/>
    <n v="3"/>
    <x v="1"/>
    <x v="2"/>
    <n v="3"/>
    <s v="Divorced"/>
    <n v="3339"/>
    <n v="17285"/>
    <n v="3"/>
    <s v="Y"/>
    <x v="0"/>
    <n v="13"/>
    <n v="3"/>
    <n v="1"/>
    <n v="80"/>
    <n v="2"/>
    <n v="10"/>
    <n v="2"/>
    <n v="3"/>
    <x v="5"/>
    <n v="7"/>
    <n v="7"/>
    <n v="7"/>
  </r>
  <r>
    <n v="28"/>
    <x v="1"/>
    <s v="Travel_Rarely"/>
    <n v="640"/>
    <x v="1"/>
    <x v="0"/>
    <n v="3"/>
    <s v="Technical Degree"/>
    <n v="1"/>
    <n v="1301"/>
    <n v="4"/>
    <x v="1"/>
    <n v="84"/>
    <n v="3"/>
    <x v="1"/>
    <x v="1"/>
    <n v="1"/>
    <s v="Single"/>
    <n v="2080"/>
    <n v="4732"/>
    <n v="2"/>
    <s v="Y"/>
    <x v="1"/>
    <n v="11"/>
    <n v="3"/>
    <n v="2"/>
    <n v="80"/>
    <n v="0"/>
    <n v="5"/>
    <n v="2"/>
    <n v="2"/>
    <x v="11"/>
    <n v="2"/>
    <n v="1"/>
    <n v="2"/>
  </r>
  <r>
    <n v="25"/>
    <x v="1"/>
    <s v="Travel_Rarely"/>
    <n v="266"/>
    <x v="1"/>
    <x v="0"/>
    <n v="3"/>
    <s v="Medical"/>
    <n v="1"/>
    <n v="1303"/>
    <n v="4"/>
    <x v="0"/>
    <n v="40"/>
    <n v="3"/>
    <x v="1"/>
    <x v="1"/>
    <n v="2"/>
    <s v="Single"/>
    <n v="2096"/>
    <n v="18830"/>
    <n v="1"/>
    <s v="Y"/>
    <x v="1"/>
    <n v="18"/>
    <n v="3"/>
    <n v="4"/>
    <n v="80"/>
    <n v="0"/>
    <n v="2"/>
    <n v="3"/>
    <n v="2"/>
    <x v="4"/>
    <n v="2"/>
    <n v="2"/>
    <n v="1"/>
  </r>
  <r>
    <n v="32"/>
    <x v="1"/>
    <s v="Travel_Rarely"/>
    <n v="604"/>
    <x v="0"/>
    <x v="1"/>
    <n v="3"/>
    <s v="Medical"/>
    <n v="1"/>
    <n v="1304"/>
    <n v="3"/>
    <x v="1"/>
    <n v="56"/>
    <n v="4"/>
    <x v="0"/>
    <x v="0"/>
    <n v="4"/>
    <s v="Married"/>
    <n v="6209"/>
    <n v="11693"/>
    <n v="1"/>
    <s v="Y"/>
    <x v="1"/>
    <n v="15"/>
    <n v="3"/>
    <n v="3"/>
    <n v="80"/>
    <n v="2"/>
    <n v="10"/>
    <n v="4"/>
    <n v="4"/>
    <x v="1"/>
    <n v="7"/>
    <n v="0"/>
    <n v="8"/>
  </r>
  <r>
    <n v="45"/>
    <x v="1"/>
    <s v="Travel_Frequently"/>
    <n v="364"/>
    <x v="1"/>
    <x v="19"/>
    <n v="3"/>
    <s v="Medical"/>
    <n v="1"/>
    <n v="1306"/>
    <n v="2"/>
    <x v="0"/>
    <n v="83"/>
    <n v="3"/>
    <x v="4"/>
    <x v="5"/>
    <n v="2"/>
    <s v="Single"/>
    <n v="18061"/>
    <n v="13035"/>
    <n v="3"/>
    <s v="Y"/>
    <x v="1"/>
    <n v="22"/>
    <n v="4"/>
    <n v="3"/>
    <n v="80"/>
    <n v="0"/>
    <n v="22"/>
    <n v="4"/>
    <n v="3"/>
    <x v="2"/>
    <n v="0"/>
    <n v="0"/>
    <n v="0"/>
  </r>
  <r>
    <n v="39"/>
    <x v="1"/>
    <s v="Travel_Rarely"/>
    <n v="412"/>
    <x v="1"/>
    <x v="28"/>
    <n v="4"/>
    <s v="Medical"/>
    <n v="1"/>
    <n v="1307"/>
    <n v="3"/>
    <x v="0"/>
    <n v="94"/>
    <n v="2"/>
    <x v="3"/>
    <x v="5"/>
    <n v="2"/>
    <s v="Divorced"/>
    <n v="17123"/>
    <n v="17334"/>
    <n v="6"/>
    <s v="Y"/>
    <x v="0"/>
    <n v="13"/>
    <n v="3"/>
    <n v="4"/>
    <n v="80"/>
    <n v="2"/>
    <n v="21"/>
    <n v="4"/>
    <n v="3"/>
    <x v="27"/>
    <n v="9"/>
    <n v="15"/>
    <n v="2"/>
  </r>
  <r>
    <n v="58"/>
    <x v="1"/>
    <s v="Travel_Rarely"/>
    <n v="848"/>
    <x v="1"/>
    <x v="5"/>
    <n v="4"/>
    <s v="Life Sciences"/>
    <n v="1"/>
    <n v="1308"/>
    <n v="1"/>
    <x v="1"/>
    <n v="88"/>
    <n v="3"/>
    <x v="1"/>
    <x v="1"/>
    <n v="3"/>
    <s v="Divorced"/>
    <n v="2372"/>
    <n v="26076"/>
    <n v="1"/>
    <s v="Y"/>
    <x v="1"/>
    <n v="12"/>
    <n v="3"/>
    <n v="4"/>
    <n v="80"/>
    <n v="2"/>
    <n v="2"/>
    <n v="3"/>
    <n v="3"/>
    <x v="4"/>
    <n v="2"/>
    <n v="2"/>
    <n v="2"/>
  </r>
  <r>
    <n v="32"/>
    <x v="0"/>
    <s v="Travel_Rarely"/>
    <n v="1089"/>
    <x v="1"/>
    <x v="15"/>
    <n v="2"/>
    <s v="Life Sciences"/>
    <n v="1"/>
    <n v="1309"/>
    <n v="4"/>
    <x v="1"/>
    <n v="79"/>
    <n v="3"/>
    <x v="0"/>
    <x v="2"/>
    <n v="3"/>
    <s v="Married"/>
    <n v="4883"/>
    <n v="22845"/>
    <n v="1"/>
    <s v="Y"/>
    <x v="1"/>
    <n v="18"/>
    <n v="3"/>
    <n v="1"/>
    <n v="80"/>
    <n v="1"/>
    <n v="10"/>
    <n v="3"/>
    <n v="3"/>
    <x v="1"/>
    <n v="4"/>
    <n v="1"/>
    <n v="1"/>
  </r>
  <r>
    <n v="39"/>
    <x v="0"/>
    <s v="Travel_Rarely"/>
    <n v="360"/>
    <x v="1"/>
    <x v="5"/>
    <n v="3"/>
    <s v="Medical"/>
    <n v="1"/>
    <n v="1310"/>
    <n v="3"/>
    <x v="1"/>
    <n v="93"/>
    <n v="3"/>
    <x v="1"/>
    <x v="1"/>
    <n v="1"/>
    <s v="Single"/>
    <n v="3904"/>
    <n v="22154"/>
    <n v="0"/>
    <s v="Y"/>
    <x v="1"/>
    <n v="13"/>
    <n v="3"/>
    <n v="1"/>
    <n v="80"/>
    <n v="0"/>
    <n v="6"/>
    <n v="2"/>
    <n v="3"/>
    <x v="8"/>
    <n v="2"/>
    <n v="0"/>
    <n v="3"/>
  </r>
  <r>
    <n v="30"/>
    <x v="1"/>
    <s v="Travel_Rarely"/>
    <n v="1138"/>
    <x v="1"/>
    <x v="16"/>
    <n v="3"/>
    <s v="Technical Degree"/>
    <n v="1"/>
    <n v="1311"/>
    <n v="1"/>
    <x v="0"/>
    <n v="48"/>
    <n v="2"/>
    <x v="0"/>
    <x v="2"/>
    <n v="4"/>
    <s v="Married"/>
    <n v="4627"/>
    <n v="23631"/>
    <n v="0"/>
    <s v="Y"/>
    <x v="1"/>
    <n v="12"/>
    <n v="3"/>
    <n v="1"/>
    <n v="80"/>
    <n v="1"/>
    <n v="10"/>
    <n v="6"/>
    <n v="3"/>
    <x v="7"/>
    <n v="2"/>
    <n v="6"/>
    <n v="7"/>
  </r>
  <r>
    <n v="36"/>
    <x v="1"/>
    <s v="Travel_Rarely"/>
    <n v="325"/>
    <x v="1"/>
    <x v="17"/>
    <n v="4"/>
    <s v="Technical Degree"/>
    <n v="1"/>
    <n v="1312"/>
    <n v="4"/>
    <x v="0"/>
    <n v="63"/>
    <n v="3"/>
    <x v="2"/>
    <x v="4"/>
    <n v="3"/>
    <s v="Married"/>
    <n v="7094"/>
    <n v="5747"/>
    <n v="3"/>
    <s v="Y"/>
    <x v="1"/>
    <n v="12"/>
    <n v="3"/>
    <n v="1"/>
    <n v="80"/>
    <n v="0"/>
    <n v="10"/>
    <n v="0"/>
    <n v="3"/>
    <x v="5"/>
    <n v="7"/>
    <n v="1"/>
    <n v="7"/>
  </r>
  <r>
    <n v="46"/>
    <x v="1"/>
    <s v="Travel_Rarely"/>
    <n v="991"/>
    <x v="2"/>
    <x v="0"/>
    <n v="2"/>
    <s v="Life Sciences"/>
    <n v="1"/>
    <n v="1314"/>
    <n v="4"/>
    <x v="0"/>
    <n v="44"/>
    <n v="3"/>
    <x v="1"/>
    <x v="8"/>
    <n v="1"/>
    <s v="Single"/>
    <n v="3423"/>
    <n v="22957"/>
    <n v="6"/>
    <s v="Y"/>
    <x v="1"/>
    <n v="12"/>
    <n v="3"/>
    <n v="3"/>
    <n v="80"/>
    <n v="0"/>
    <n v="10"/>
    <n v="3"/>
    <n v="4"/>
    <x v="5"/>
    <n v="6"/>
    <n v="5"/>
    <n v="7"/>
  </r>
  <r>
    <n v="28"/>
    <x v="1"/>
    <s v="Non-Travel"/>
    <n v="1476"/>
    <x v="1"/>
    <x v="0"/>
    <n v="3"/>
    <s v="Life Sciences"/>
    <n v="1"/>
    <n v="1315"/>
    <n v="3"/>
    <x v="0"/>
    <n v="55"/>
    <n v="1"/>
    <x v="0"/>
    <x v="2"/>
    <n v="4"/>
    <s v="Married"/>
    <n v="6674"/>
    <n v="16392"/>
    <n v="0"/>
    <s v="Y"/>
    <x v="1"/>
    <n v="11"/>
    <n v="3"/>
    <n v="1"/>
    <n v="80"/>
    <n v="3"/>
    <n v="10"/>
    <n v="6"/>
    <n v="3"/>
    <x v="7"/>
    <n v="8"/>
    <n v="7"/>
    <n v="5"/>
  </r>
  <r>
    <n v="50"/>
    <x v="1"/>
    <s v="Travel_Rarely"/>
    <n v="1322"/>
    <x v="1"/>
    <x v="26"/>
    <n v="3"/>
    <s v="Life Sciences"/>
    <n v="1"/>
    <n v="1317"/>
    <n v="4"/>
    <x v="0"/>
    <n v="43"/>
    <n v="3"/>
    <x v="3"/>
    <x v="7"/>
    <n v="1"/>
    <s v="Married"/>
    <n v="16880"/>
    <n v="22422"/>
    <n v="4"/>
    <s v="Y"/>
    <x v="0"/>
    <n v="11"/>
    <n v="3"/>
    <n v="2"/>
    <n v="80"/>
    <n v="0"/>
    <n v="25"/>
    <n v="2"/>
    <n v="3"/>
    <x v="11"/>
    <n v="2"/>
    <n v="1"/>
    <n v="2"/>
  </r>
  <r>
    <n v="40"/>
    <x v="0"/>
    <s v="Travel_Rarely"/>
    <n v="299"/>
    <x v="0"/>
    <x v="19"/>
    <n v="4"/>
    <s v="Marketing"/>
    <n v="1"/>
    <n v="1318"/>
    <n v="4"/>
    <x v="1"/>
    <n v="57"/>
    <n v="2"/>
    <x v="2"/>
    <x v="0"/>
    <n v="2"/>
    <s v="Single"/>
    <n v="9094"/>
    <n v="17235"/>
    <n v="2"/>
    <s v="Y"/>
    <x v="0"/>
    <n v="12"/>
    <n v="3"/>
    <n v="3"/>
    <n v="80"/>
    <n v="0"/>
    <n v="9"/>
    <n v="2"/>
    <n v="3"/>
    <x v="8"/>
    <n v="4"/>
    <n v="1"/>
    <n v="0"/>
  </r>
  <r>
    <n v="52"/>
    <x v="0"/>
    <s v="Travel_Rarely"/>
    <n v="1030"/>
    <x v="0"/>
    <x v="12"/>
    <n v="3"/>
    <s v="Life Sciences"/>
    <n v="1"/>
    <n v="1319"/>
    <n v="2"/>
    <x v="1"/>
    <n v="64"/>
    <n v="3"/>
    <x v="2"/>
    <x v="0"/>
    <n v="2"/>
    <s v="Single"/>
    <n v="8446"/>
    <n v="21534"/>
    <n v="9"/>
    <s v="Y"/>
    <x v="0"/>
    <n v="19"/>
    <n v="3"/>
    <n v="3"/>
    <n v="80"/>
    <n v="0"/>
    <n v="10"/>
    <n v="2"/>
    <n v="2"/>
    <x v="3"/>
    <n v="7"/>
    <n v="7"/>
    <n v="7"/>
  </r>
  <r>
    <n v="30"/>
    <x v="1"/>
    <s v="Travel_Rarely"/>
    <n v="634"/>
    <x v="1"/>
    <x v="27"/>
    <n v="4"/>
    <s v="Medical"/>
    <n v="1"/>
    <n v="1321"/>
    <n v="2"/>
    <x v="0"/>
    <n v="95"/>
    <n v="3"/>
    <x v="2"/>
    <x v="5"/>
    <n v="1"/>
    <s v="Married"/>
    <n v="11916"/>
    <n v="25927"/>
    <n v="1"/>
    <s v="Y"/>
    <x v="0"/>
    <n v="23"/>
    <n v="4"/>
    <n v="4"/>
    <n v="80"/>
    <n v="2"/>
    <n v="9"/>
    <n v="2"/>
    <n v="3"/>
    <x v="7"/>
    <n v="1"/>
    <n v="0"/>
    <n v="8"/>
  </r>
  <r>
    <n v="39"/>
    <x v="1"/>
    <s v="Travel_Rarely"/>
    <n v="524"/>
    <x v="1"/>
    <x v="21"/>
    <n v="2"/>
    <s v="Life Sciences"/>
    <n v="1"/>
    <n v="1322"/>
    <n v="1"/>
    <x v="1"/>
    <n v="32"/>
    <n v="3"/>
    <x v="0"/>
    <x v="3"/>
    <n v="3"/>
    <s v="Single"/>
    <n v="4534"/>
    <n v="13352"/>
    <n v="0"/>
    <s v="Y"/>
    <x v="1"/>
    <n v="11"/>
    <n v="3"/>
    <n v="1"/>
    <n v="80"/>
    <n v="0"/>
    <n v="9"/>
    <n v="6"/>
    <n v="3"/>
    <x v="3"/>
    <n v="7"/>
    <n v="1"/>
    <n v="7"/>
  </r>
  <r>
    <n v="31"/>
    <x v="1"/>
    <s v="Non-Travel"/>
    <n v="587"/>
    <x v="0"/>
    <x v="2"/>
    <n v="4"/>
    <s v="Life Sciences"/>
    <n v="1"/>
    <n v="1324"/>
    <n v="4"/>
    <x v="0"/>
    <n v="57"/>
    <n v="3"/>
    <x v="2"/>
    <x v="0"/>
    <n v="3"/>
    <s v="Divorced"/>
    <n v="9852"/>
    <n v="8935"/>
    <n v="1"/>
    <s v="Y"/>
    <x v="0"/>
    <n v="19"/>
    <n v="3"/>
    <n v="1"/>
    <n v="80"/>
    <n v="1"/>
    <n v="10"/>
    <n v="5"/>
    <n v="2"/>
    <x v="1"/>
    <n v="8"/>
    <n v="9"/>
    <n v="6"/>
  </r>
  <r>
    <n v="41"/>
    <x v="1"/>
    <s v="Non-Travel"/>
    <n v="256"/>
    <x v="0"/>
    <x v="17"/>
    <n v="2"/>
    <s v="Medical"/>
    <n v="1"/>
    <n v="1329"/>
    <n v="3"/>
    <x v="1"/>
    <n v="40"/>
    <n v="1"/>
    <x v="0"/>
    <x v="0"/>
    <n v="2"/>
    <s v="Single"/>
    <n v="6151"/>
    <n v="22074"/>
    <n v="1"/>
    <s v="Y"/>
    <x v="1"/>
    <n v="13"/>
    <n v="3"/>
    <n v="1"/>
    <n v="80"/>
    <n v="0"/>
    <n v="19"/>
    <n v="4"/>
    <n v="3"/>
    <x v="27"/>
    <n v="2"/>
    <n v="11"/>
    <n v="9"/>
  </r>
  <r>
    <n v="31"/>
    <x v="0"/>
    <s v="Travel_Frequently"/>
    <n v="1060"/>
    <x v="0"/>
    <x v="0"/>
    <n v="3"/>
    <s v="Life Sciences"/>
    <n v="1"/>
    <n v="1331"/>
    <n v="4"/>
    <x v="0"/>
    <n v="54"/>
    <n v="3"/>
    <x v="1"/>
    <x v="6"/>
    <n v="2"/>
    <s v="Single"/>
    <n v="2302"/>
    <n v="8319"/>
    <n v="1"/>
    <s v="Y"/>
    <x v="0"/>
    <n v="11"/>
    <n v="3"/>
    <n v="1"/>
    <n v="80"/>
    <n v="0"/>
    <n v="3"/>
    <n v="2"/>
    <n v="4"/>
    <x v="11"/>
    <n v="2"/>
    <n v="2"/>
    <n v="2"/>
  </r>
  <r>
    <n v="44"/>
    <x v="0"/>
    <s v="Travel_Rarely"/>
    <n v="935"/>
    <x v="1"/>
    <x v="3"/>
    <n v="3"/>
    <s v="Life Sciences"/>
    <n v="1"/>
    <n v="1333"/>
    <n v="1"/>
    <x v="1"/>
    <n v="89"/>
    <n v="3"/>
    <x v="1"/>
    <x v="2"/>
    <n v="1"/>
    <s v="Married"/>
    <n v="2362"/>
    <n v="14669"/>
    <n v="4"/>
    <s v="Y"/>
    <x v="1"/>
    <n v="12"/>
    <n v="3"/>
    <n v="3"/>
    <n v="80"/>
    <n v="0"/>
    <n v="10"/>
    <n v="4"/>
    <n v="4"/>
    <x v="11"/>
    <n v="2"/>
    <n v="1"/>
    <n v="2"/>
  </r>
  <r>
    <n v="42"/>
    <x v="1"/>
    <s v="Non-Travel"/>
    <n v="495"/>
    <x v="1"/>
    <x v="2"/>
    <n v="1"/>
    <s v="Life Sciences"/>
    <n v="1"/>
    <n v="1334"/>
    <n v="3"/>
    <x v="1"/>
    <n v="37"/>
    <n v="3"/>
    <x v="3"/>
    <x v="5"/>
    <n v="3"/>
    <s v="Married"/>
    <n v="17861"/>
    <n v="26582"/>
    <n v="0"/>
    <s v="Y"/>
    <x v="0"/>
    <n v="13"/>
    <n v="3"/>
    <n v="4"/>
    <n v="80"/>
    <n v="0"/>
    <n v="21"/>
    <n v="3"/>
    <n v="2"/>
    <x v="23"/>
    <n v="8"/>
    <n v="2"/>
    <n v="10"/>
  </r>
  <r>
    <n v="55"/>
    <x v="1"/>
    <s v="Travel_Rarely"/>
    <n v="282"/>
    <x v="1"/>
    <x v="2"/>
    <n v="2"/>
    <s v="Medical"/>
    <n v="1"/>
    <n v="1336"/>
    <n v="4"/>
    <x v="0"/>
    <n v="58"/>
    <n v="1"/>
    <x v="4"/>
    <x v="5"/>
    <n v="3"/>
    <s v="Married"/>
    <n v="19187"/>
    <n v="6992"/>
    <n v="4"/>
    <s v="Y"/>
    <x v="1"/>
    <n v="14"/>
    <n v="3"/>
    <n v="4"/>
    <n v="80"/>
    <n v="1"/>
    <n v="23"/>
    <n v="5"/>
    <n v="3"/>
    <x v="27"/>
    <n v="9"/>
    <n v="9"/>
    <n v="11"/>
  </r>
  <r>
    <n v="56"/>
    <x v="1"/>
    <s v="Travel_Rarely"/>
    <n v="206"/>
    <x v="2"/>
    <x v="1"/>
    <n v="4"/>
    <s v="Life Sciences"/>
    <n v="1"/>
    <n v="1338"/>
    <n v="4"/>
    <x v="1"/>
    <n v="99"/>
    <n v="3"/>
    <x v="4"/>
    <x v="5"/>
    <n v="2"/>
    <s v="Single"/>
    <n v="19717"/>
    <n v="4022"/>
    <n v="6"/>
    <s v="Y"/>
    <x v="1"/>
    <n v="14"/>
    <n v="3"/>
    <n v="1"/>
    <n v="80"/>
    <n v="0"/>
    <n v="36"/>
    <n v="4"/>
    <n v="3"/>
    <x v="5"/>
    <n v="3"/>
    <n v="7"/>
    <n v="7"/>
  </r>
  <r>
    <n v="40"/>
    <x v="1"/>
    <s v="Non-Travel"/>
    <n v="458"/>
    <x v="1"/>
    <x v="7"/>
    <n v="2"/>
    <s v="Life Sciences"/>
    <n v="1"/>
    <n v="1340"/>
    <n v="3"/>
    <x v="1"/>
    <n v="74"/>
    <n v="3"/>
    <x v="1"/>
    <x v="1"/>
    <n v="3"/>
    <s v="Divorced"/>
    <n v="3544"/>
    <n v="8532"/>
    <n v="9"/>
    <s v="Y"/>
    <x v="1"/>
    <n v="16"/>
    <n v="3"/>
    <n v="2"/>
    <n v="80"/>
    <n v="1"/>
    <n v="6"/>
    <n v="0"/>
    <n v="3"/>
    <x v="9"/>
    <n v="2"/>
    <n v="0"/>
    <n v="0"/>
  </r>
  <r>
    <n v="34"/>
    <x v="1"/>
    <s v="Travel_Rarely"/>
    <n v="943"/>
    <x v="1"/>
    <x v="14"/>
    <n v="3"/>
    <s v="Life Sciences"/>
    <n v="1"/>
    <n v="1344"/>
    <n v="4"/>
    <x v="1"/>
    <n v="86"/>
    <n v="3"/>
    <x v="2"/>
    <x v="4"/>
    <n v="4"/>
    <s v="Divorced"/>
    <n v="8500"/>
    <n v="5494"/>
    <n v="0"/>
    <s v="Y"/>
    <x v="1"/>
    <n v="11"/>
    <n v="3"/>
    <n v="4"/>
    <n v="80"/>
    <n v="1"/>
    <n v="10"/>
    <n v="0"/>
    <n v="2"/>
    <x v="7"/>
    <n v="7"/>
    <n v="1"/>
    <n v="6"/>
  </r>
  <r>
    <n v="40"/>
    <x v="1"/>
    <s v="Travel_Rarely"/>
    <n v="523"/>
    <x v="1"/>
    <x v="2"/>
    <n v="3"/>
    <s v="Life Sciences"/>
    <n v="1"/>
    <n v="1346"/>
    <n v="3"/>
    <x v="1"/>
    <n v="98"/>
    <n v="3"/>
    <x v="0"/>
    <x v="1"/>
    <n v="4"/>
    <s v="Single"/>
    <n v="4661"/>
    <n v="22455"/>
    <n v="1"/>
    <s v="Y"/>
    <x v="1"/>
    <n v="13"/>
    <n v="3"/>
    <n v="3"/>
    <n v="80"/>
    <n v="0"/>
    <n v="9"/>
    <n v="4"/>
    <n v="3"/>
    <x v="7"/>
    <n v="8"/>
    <n v="8"/>
    <n v="8"/>
  </r>
  <r>
    <n v="41"/>
    <x v="1"/>
    <s v="Travel_Frequently"/>
    <n v="1018"/>
    <x v="0"/>
    <x v="0"/>
    <n v="3"/>
    <s v="Marketing"/>
    <n v="1"/>
    <n v="1349"/>
    <n v="3"/>
    <x v="0"/>
    <n v="66"/>
    <n v="3"/>
    <x v="0"/>
    <x v="0"/>
    <n v="1"/>
    <s v="Divorced"/>
    <n v="4103"/>
    <n v="4297"/>
    <n v="0"/>
    <s v="Y"/>
    <x v="1"/>
    <n v="17"/>
    <n v="3"/>
    <n v="4"/>
    <n v="80"/>
    <n v="1"/>
    <n v="10"/>
    <n v="2"/>
    <n v="3"/>
    <x v="7"/>
    <n v="3"/>
    <n v="1"/>
    <n v="7"/>
  </r>
  <r>
    <n v="35"/>
    <x v="1"/>
    <s v="Travel_Frequently"/>
    <n v="482"/>
    <x v="1"/>
    <x v="18"/>
    <n v="4"/>
    <s v="Life Sciences"/>
    <n v="1"/>
    <n v="1350"/>
    <n v="3"/>
    <x v="1"/>
    <n v="87"/>
    <n v="3"/>
    <x v="0"/>
    <x v="1"/>
    <n v="3"/>
    <s v="Single"/>
    <n v="4249"/>
    <n v="2690"/>
    <n v="1"/>
    <s v="Y"/>
    <x v="0"/>
    <n v="11"/>
    <n v="3"/>
    <n v="2"/>
    <n v="80"/>
    <n v="0"/>
    <n v="9"/>
    <n v="3"/>
    <n v="3"/>
    <x v="7"/>
    <n v="6"/>
    <n v="1"/>
    <n v="1"/>
  </r>
  <r>
    <n v="51"/>
    <x v="1"/>
    <s v="Travel_Rarely"/>
    <n v="770"/>
    <x v="2"/>
    <x v="12"/>
    <n v="3"/>
    <s v="Life Sciences"/>
    <n v="1"/>
    <n v="1352"/>
    <n v="3"/>
    <x v="1"/>
    <n v="84"/>
    <n v="3"/>
    <x v="3"/>
    <x v="5"/>
    <n v="2"/>
    <s v="Divorced"/>
    <n v="14026"/>
    <n v="17588"/>
    <n v="1"/>
    <s v="Y"/>
    <x v="0"/>
    <n v="11"/>
    <n v="3"/>
    <n v="2"/>
    <n v="80"/>
    <n v="1"/>
    <n v="33"/>
    <n v="2"/>
    <n v="3"/>
    <x v="26"/>
    <n v="9"/>
    <n v="0"/>
    <n v="10"/>
  </r>
  <r>
    <n v="38"/>
    <x v="1"/>
    <s v="Travel_Rarely"/>
    <n v="1009"/>
    <x v="0"/>
    <x v="2"/>
    <n v="2"/>
    <s v="Life Sciences"/>
    <n v="1"/>
    <n v="1355"/>
    <n v="2"/>
    <x v="0"/>
    <n v="31"/>
    <n v="3"/>
    <x v="0"/>
    <x v="0"/>
    <n v="1"/>
    <s v="Divorced"/>
    <n v="6893"/>
    <n v="19461"/>
    <n v="3"/>
    <s v="Y"/>
    <x v="1"/>
    <n v="15"/>
    <n v="3"/>
    <n v="4"/>
    <n v="80"/>
    <n v="1"/>
    <n v="11"/>
    <n v="3"/>
    <n v="3"/>
    <x v="5"/>
    <n v="7"/>
    <n v="1"/>
    <n v="7"/>
  </r>
  <r>
    <n v="34"/>
    <x v="1"/>
    <s v="Travel_Rarely"/>
    <n v="507"/>
    <x v="0"/>
    <x v="8"/>
    <n v="2"/>
    <s v="Medical"/>
    <n v="1"/>
    <n v="1356"/>
    <n v="3"/>
    <x v="0"/>
    <n v="66"/>
    <n v="3"/>
    <x v="0"/>
    <x v="0"/>
    <n v="1"/>
    <s v="Single"/>
    <n v="6125"/>
    <n v="23553"/>
    <n v="1"/>
    <s v="Y"/>
    <x v="1"/>
    <n v="12"/>
    <n v="3"/>
    <n v="4"/>
    <n v="80"/>
    <n v="0"/>
    <n v="10"/>
    <n v="6"/>
    <n v="4"/>
    <x v="1"/>
    <n v="8"/>
    <n v="9"/>
    <n v="6"/>
  </r>
  <r>
    <n v="25"/>
    <x v="1"/>
    <s v="Travel_Rarely"/>
    <n v="882"/>
    <x v="1"/>
    <x v="10"/>
    <n v="1"/>
    <s v="Medical"/>
    <n v="1"/>
    <n v="1358"/>
    <n v="4"/>
    <x v="1"/>
    <n v="67"/>
    <n v="3"/>
    <x v="1"/>
    <x v="2"/>
    <n v="4"/>
    <s v="Married"/>
    <n v="3669"/>
    <n v="9075"/>
    <n v="3"/>
    <s v="Y"/>
    <x v="1"/>
    <n v="11"/>
    <n v="3"/>
    <n v="3"/>
    <n v="80"/>
    <n v="3"/>
    <n v="7"/>
    <n v="6"/>
    <n v="2"/>
    <x v="11"/>
    <n v="2"/>
    <n v="1"/>
    <n v="2"/>
  </r>
  <r>
    <n v="58"/>
    <x v="0"/>
    <s v="Travel_Rarely"/>
    <n v="601"/>
    <x v="1"/>
    <x v="15"/>
    <n v="4"/>
    <s v="Medical"/>
    <n v="1"/>
    <n v="1360"/>
    <n v="3"/>
    <x v="0"/>
    <n v="53"/>
    <n v="2"/>
    <x v="2"/>
    <x v="3"/>
    <n v="1"/>
    <s v="Married"/>
    <n v="10008"/>
    <n v="12023"/>
    <n v="7"/>
    <s v="Y"/>
    <x v="0"/>
    <n v="14"/>
    <n v="3"/>
    <n v="4"/>
    <n v="80"/>
    <n v="0"/>
    <n v="31"/>
    <n v="0"/>
    <n v="2"/>
    <x v="1"/>
    <n v="9"/>
    <n v="5"/>
    <n v="9"/>
  </r>
  <r>
    <n v="40"/>
    <x v="1"/>
    <s v="Travel_Rarely"/>
    <n v="329"/>
    <x v="1"/>
    <x v="0"/>
    <n v="4"/>
    <s v="Life Sciences"/>
    <n v="1"/>
    <n v="1361"/>
    <n v="2"/>
    <x v="1"/>
    <n v="88"/>
    <n v="3"/>
    <x v="1"/>
    <x v="2"/>
    <n v="2"/>
    <s v="Married"/>
    <n v="2387"/>
    <n v="6762"/>
    <n v="3"/>
    <s v="Y"/>
    <x v="1"/>
    <n v="22"/>
    <n v="4"/>
    <n v="3"/>
    <n v="80"/>
    <n v="1"/>
    <n v="7"/>
    <n v="3"/>
    <n v="3"/>
    <x v="9"/>
    <n v="2"/>
    <n v="0"/>
    <n v="3"/>
  </r>
  <r>
    <n v="36"/>
    <x v="1"/>
    <s v="Travel_Frequently"/>
    <n v="607"/>
    <x v="0"/>
    <x v="15"/>
    <n v="3"/>
    <s v="Marketing"/>
    <n v="1"/>
    <n v="1362"/>
    <n v="1"/>
    <x v="0"/>
    <n v="83"/>
    <n v="4"/>
    <x v="0"/>
    <x v="0"/>
    <n v="1"/>
    <s v="Married"/>
    <n v="4639"/>
    <n v="2261"/>
    <n v="2"/>
    <s v="Y"/>
    <x v="1"/>
    <n v="16"/>
    <n v="3"/>
    <n v="4"/>
    <n v="80"/>
    <n v="1"/>
    <n v="17"/>
    <n v="2"/>
    <n v="2"/>
    <x v="15"/>
    <n v="7"/>
    <n v="6"/>
    <n v="13"/>
  </r>
  <r>
    <n v="48"/>
    <x v="1"/>
    <s v="Travel_Rarely"/>
    <n v="855"/>
    <x v="1"/>
    <x v="18"/>
    <n v="3"/>
    <s v="Life Sciences"/>
    <n v="1"/>
    <n v="1363"/>
    <n v="4"/>
    <x v="1"/>
    <n v="54"/>
    <n v="3"/>
    <x v="2"/>
    <x v="3"/>
    <n v="4"/>
    <s v="Single"/>
    <n v="7898"/>
    <n v="18706"/>
    <n v="1"/>
    <s v="Y"/>
    <x v="1"/>
    <n v="11"/>
    <n v="3"/>
    <n v="3"/>
    <n v="80"/>
    <n v="0"/>
    <n v="11"/>
    <n v="2"/>
    <n v="3"/>
    <x v="1"/>
    <n v="9"/>
    <n v="0"/>
    <n v="8"/>
  </r>
  <r>
    <n v="27"/>
    <x v="1"/>
    <s v="Travel_Rarely"/>
    <n v="1291"/>
    <x v="0"/>
    <x v="13"/>
    <n v="3"/>
    <s v="Medical"/>
    <n v="1"/>
    <n v="1364"/>
    <n v="3"/>
    <x v="0"/>
    <n v="98"/>
    <n v="4"/>
    <x v="1"/>
    <x v="6"/>
    <n v="4"/>
    <s v="Married"/>
    <n v="2534"/>
    <n v="6527"/>
    <n v="8"/>
    <s v="Y"/>
    <x v="1"/>
    <n v="14"/>
    <n v="3"/>
    <n v="2"/>
    <n v="80"/>
    <n v="1"/>
    <n v="5"/>
    <n v="4"/>
    <n v="3"/>
    <x v="6"/>
    <n v="0"/>
    <n v="0"/>
    <n v="0"/>
  </r>
  <r>
    <n v="51"/>
    <x v="1"/>
    <s v="Travel_Rarely"/>
    <n v="1405"/>
    <x v="1"/>
    <x v="13"/>
    <n v="2"/>
    <s v="Technical Degree"/>
    <n v="1"/>
    <n v="1367"/>
    <n v="4"/>
    <x v="0"/>
    <n v="82"/>
    <n v="2"/>
    <x v="3"/>
    <x v="3"/>
    <n v="2"/>
    <s v="Single"/>
    <n v="13142"/>
    <n v="24439"/>
    <n v="3"/>
    <s v="Y"/>
    <x v="1"/>
    <n v="16"/>
    <n v="3"/>
    <n v="2"/>
    <n v="80"/>
    <n v="0"/>
    <n v="29"/>
    <n v="1"/>
    <n v="2"/>
    <x v="8"/>
    <n v="2"/>
    <n v="0"/>
    <n v="3"/>
  </r>
  <r>
    <n v="18"/>
    <x v="1"/>
    <s v="Non-Travel"/>
    <n v="1124"/>
    <x v="1"/>
    <x v="0"/>
    <n v="3"/>
    <s v="Life Sciences"/>
    <n v="1"/>
    <n v="1368"/>
    <n v="4"/>
    <x v="0"/>
    <n v="97"/>
    <n v="3"/>
    <x v="1"/>
    <x v="2"/>
    <n v="4"/>
    <s v="Single"/>
    <n v="1611"/>
    <n v="19305"/>
    <n v="1"/>
    <s v="Y"/>
    <x v="1"/>
    <n v="15"/>
    <n v="3"/>
    <n v="3"/>
    <n v="80"/>
    <n v="0"/>
    <n v="0"/>
    <n v="5"/>
    <n v="4"/>
    <x v="2"/>
    <n v="0"/>
    <n v="0"/>
    <n v="0"/>
  </r>
  <r>
    <n v="35"/>
    <x v="1"/>
    <s v="Travel_Rarely"/>
    <n v="817"/>
    <x v="1"/>
    <x v="0"/>
    <n v="3"/>
    <s v="Medical"/>
    <n v="1"/>
    <n v="1369"/>
    <n v="4"/>
    <x v="0"/>
    <n v="60"/>
    <n v="2"/>
    <x v="0"/>
    <x v="2"/>
    <n v="4"/>
    <s v="Married"/>
    <n v="5363"/>
    <n v="10846"/>
    <n v="0"/>
    <s v="Y"/>
    <x v="1"/>
    <n v="12"/>
    <n v="3"/>
    <n v="2"/>
    <n v="80"/>
    <n v="1"/>
    <n v="10"/>
    <n v="0"/>
    <n v="3"/>
    <x v="7"/>
    <n v="7"/>
    <n v="0"/>
    <n v="0"/>
  </r>
  <r>
    <n v="27"/>
    <x v="1"/>
    <s v="Travel_Frequently"/>
    <n v="793"/>
    <x v="0"/>
    <x v="2"/>
    <n v="1"/>
    <s v="Life Sciences"/>
    <n v="1"/>
    <n v="1371"/>
    <n v="4"/>
    <x v="1"/>
    <n v="43"/>
    <n v="1"/>
    <x v="0"/>
    <x v="0"/>
    <n v="4"/>
    <s v="Single"/>
    <n v="5071"/>
    <n v="20392"/>
    <n v="3"/>
    <s v="Y"/>
    <x v="1"/>
    <n v="20"/>
    <n v="4"/>
    <n v="2"/>
    <n v="80"/>
    <n v="0"/>
    <n v="8"/>
    <n v="3"/>
    <n v="3"/>
    <x v="0"/>
    <n v="2"/>
    <n v="0"/>
    <n v="0"/>
  </r>
  <r>
    <n v="55"/>
    <x v="0"/>
    <s v="Travel_Rarely"/>
    <n v="267"/>
    <x v="0"/>
    <x v="28"/>
    <n v="4"/>
    <s v="Marketing"/>
    <n v="1"/>
    <n v="1372"/>
    <n v="1"/>
    <x v="1"/>
    <n v="85"/>
    <n v="4"/>
    <x v="3"/>
    <x v="0"/>
    <n v="3"/>
    <s v="Single"/>
    <n v="13695"/>
    <n v="9277"/>
    <n v="6"/>
    <s v="Y"/>
    <x v="0"/>
    <n v="17"/>
    <n v="3"/>
    <n v="3"/>
    <n v="80"/>
    <n v="0"/>
    <n v="24"/>
    <n v="2"/>
    <n v="2"/>
    <x v="27"/>
    <n v="7"/>
    <n v="3"/>
    <n v="8"/>
  </r>
  <r>
    <n v="56"/>
    <x v="1"/>
    <s v="Travel_Rarely"/>
    <n v="1369"/>
    <x v="1"/>
    <x v="5"/>
    <n v="3"/>
    <s v="Life Sciences"/>
    <n v="1"/>
    <n v="1373"/>
    <n v="4"/>
    <x v="1"/>
    <n v="68"/>
    <n v="3"/>
    <x v="3"/>
    <x v="3"/>
    <n v="2"/>
    <s v="Married"/>
    <n v="13402"/>
    <n v="18235"/>
    <n v="4"/>
    <s v="Y"/>
    <x v="0"/>
    <n v="12"/>
    <n v="3"/>
    <n v="1"/>
    <n v="80"/>
    <n v="1"/>
    <n v="33"/>
    <n v="0"/>
    <n v="3"/>
    <x v="27"/>
    <n v="16"/>
    <n v="15"/>
    <n v="9"/>
  </r>
  <r>
    <n v="34"/>
    <x v="1"/>
    <s v="Non-Travel"/>
    <n v="999"/>
    <x v="1"/>
    <x v="9"/>
    <n v="1"/>
    <s v="Technical Degree"/>
    <n v="1"/>
    <n v="1374"/>
    <n v="1"/>
    <x v="0"/>
    <n v="92"/>
    <n v="2"/>
    <x v="1"/>
    <x v="1"/>
    <n v="3"/>
    <s v="Divorced"/>
    <n v="2029"/>
    <n v="15891"/>
    <n v="1"/>
    <s v="Y"/>
    <x v="1"/>
    <n v="20"/>
    <n v="4"/>
    <n v="3"/>
    <n v="80"/>
    <n v="3"/>
    <n v="5"/>
    <n v="2"/>
    <n v="3"/>
    <x v="8"/>
    <n v="4"/>
    <n v="0"/>
    <n v="0"/>
  </r>
  <r>
    <n v="40"/>
    <x v="1"/>
    <s v="Travel_Rarely"/>
    <n v="1202"/>
    <x v="1"/>
    <x v="2"/>
    <n v="1"/>
    <s v="Medical"/>
    <n v="1"/>
    <n v="1375"/>
    <n v="2"/>
    <x v="0"/>
    <n v="89"/>
    <n v="4"/>
    <x v="0"/>
    <x v="4"/>
    <n v="3"/>
    <s v="Divorced"/>
    <n v="6377"/>
    <n v="13888"/>
    <n v="5"/>
    <s v="Y"/>
    <x v="1"/>
    <n v="20"/>
    <n v="4"/>
    <n v="2"/>
    <n v="80"/>
    <n v="3"/>
    <n v="15"/>
    <n v="0"/>
    <n v="3"/>
    <x v="12"/>
    <n v="11"/>
    <n v="11"/>
    <n v="8"/>
  </r>
  <r>
    <n v="34"/>
    <x v="1"/>
    <s v="Travel_Rarely"/>
    <n v="285"/>
    <x v="1"/>
    <x v="22"/>
    <n v="3"/>
    <s v="Medical"/>
    <n v="1"/>
    <n v="1377"/>
    <n v="2"/>
    <x v="1"/>
    <n v="86"/>
    <n v="3"/>
    <x v="0"/>
    <x v="2"/>
    <n v="3"/>
    <s v="Married"/>
    <n v="5429"/>
    <n v="17491"/>
    <n v="4"/>
    <s v="Y"/>
    <x v="1"/>
    <n v="13"/>
    <n v="3"/>
    <n v="1"/>
    <n v="80"/>
    <n v="2"/>
    <n v="10"/>
    <n v="1"/>
    <n v="3"/>
    <x v="3"/>
    <n v="7"/>
    <n v="7"/>
    <n v="7"/>
  </r>
  <r>
    <n v="31"/>
    <x v="0"/>
    <s v="Travel_Frequently"/>
    <n v="703"/>
    <x v="0"/>
    <x v="2"/>
    <n v="3"/>
    <s v="Life Sciences"/>
    <n v="1"/>
    <n v="1379"/>
    <n v="3"/>
    <x v="0"/>
    <n v="90"/>
    <n v="2"/>
    <x v="1"/>
    <x v="6"/>
    <n v="4"/>
    <s v="Single"/>
    <n v="2785"/>
    <n v="11882"/>
    <n v="7"/>
    <s v="Y"/>
    <x v="1"/>
    <n v="14"/>
    <n v="3"/>
    <n v="3"/>
    <n v="80"/>
    <n v="0"/>
    <n v="3"/>
    <n v="3"/>
    <n v="4"/>
    <x v="6"/>
    <n v="0"/>
    <n v="0"/>
    <n v="0"/>
  </r>
  <r>
    <n v="35"/>
    <x v="0"/>
    <s v="Travel_Frequently"/>
    <n v="662"/>
    <x v="0"/>
    <x v="21"/>
    <n v="4"/>
    <s v="Marketing"/>
    <n v="1"/>
    <n v="1380"/>
    <n v="4"/>
    <x v="0"/>
    <n v="67"/>
    <n v="3"/>
    <x v="0"/>
    <x v="0"/>
    <n v="3"/>
    <s v="Married"/>
    <n v="4614"/>
    <n v="23288"/>
    <n v="0"/>
    <s v="Y"/>
    <x v="0"/>
    <n v="18"/>
    <n v="3"/>
    <n v="3"/>
    <n v="80"/>
    <n v="1"/>
    <n v="5"/>
    <n v="0"/>
    <n v="2"/>
    <x v="9"/>
    <n v="2"/>
    <n v="3"/>
    <n v="2"/>
  </r>
  <r>
    <n v="38"/>
    <x v="1"/>
    <s v="Travel_Frequently"/>
    <n v="693"/>
    <x v="1"/>
    <x v="15"/>
    <n v="3"/>
    <s v="Life Sciences"/>
    <n v="1"/>
    <n v="1382"/>
    <n v="4"/>
    <x v="1"/>
    <n v="57"/>
    <n v="4"/>
    <x v="1"/>
    <x v="1"/>
    <n v="3"/>
    <s v="Divorced"/>
    <n v="2610"/>
    <n v="15748"/>
    <n v="1"/>
    <s v="Y"/>
    <x v="1"/>
    <n v="11"/>
    <n v="3"/>
    <n v="4"/>
    <n v="80"/>
    <n v="3"/>
    <n v="4"/>
    <n v="2"/>
    <n v="3"/>
    <x v="9"/>
    <n v="2"/>
    <n v="0"/>
    <n v="3"/>
  </r>
  <r>
    <n v="34"/>
    <x v="1"/>
    <s v="Travel_Rarely"/>
    <n v="404"/>
    <x v="1"/>
    <x v="2"/>
    <n v="4"/>
    <s v="Technical Degree"/>
    <n v="1"/>
    <n v="1383"/>
    <n v="3"/>
    <x v="0"/>
    <n v="98"/>
    <n v="3"/>
    <x v="0"/>
    <x v="4"/>
    <n v="4"/>
    <s v="Single"/>
    <n v="6687"/>
    <n v="6163"/>
    <n v="1"/>
    <s v="Y"/>
    <x v="1"/>
    <n v="11"/>
    <n v="3"/>
    <n v="4"/>
    <n v="80"/>
    <n v="0"/>
    <n v="14"/>
    <n v="2"/>
    <n v="4"/>
    <x v="13"/>
    <n v="11"/>
    <n v="4"/>
    <n v="11"/>
  </r>
  <r>
    <n v="28"/>
    <x v="1"/>
    <s v="Travel_Rarely"/>
    <n v="736"/>
    <x v="0"/>
    <x v="9"/>
    <n v="3"/>
    <s v="Life Sciences"/>
    <n v="1"/>
    <n v="1387"/>
    <n v="3"/>
    <x v="1"/>
    <n v="48"/>
    <n v="2"/>
    <x v="0"/>
    <x v="0"/>
    <n v="1"/>
    <s v="Married"/>
    <n v="4724"/>
    <n v="24232"/>
    <n v="1"/>
    <s v="Y"/>
    <x v="1"/>
    <n v="11"/>
    <n v="3"/>
    <n v="3"/>
    <n v="80"/>
    <n v="1"/>
    <n v="5"/>
    <n v="0"/>
    <n v="3"/>
    <x v="8"/>
    <n v="3"/>
    <n v="0"/>
    <n v="4"/>
  </r>
  <r>
    <n v="31"/>
    <x v="0"/>
    <s v="Travel_Rarely"/>
    <n v="330"/>
    <x v="1"/>
    <x v="23"/>
    <n v="4"/>
    <s v="Medical"/>
    <n v="1"/>
    <n v="1389"/>
    <n v="4"/>
    <x v="1"/>
    <n v="98"/>
    <n v="3"/>
    <x v="0"/>
    <x v="3"/>
    <n v="3"/>
    <s v="Married"/>
    <n v="6179"/>
    <n v="21057"/>
    <n v="1"/>
    <s v="Y"/>
    <x v="0"/>
    <n v="15"/>
    <n v="3"/>
    <n v="4"/>
    <n v="80"/>
    <n v="2"/>
    <n v="10"/>
    <n v="3"/>
    <n v="2"/>
    <x v="1"/>
    <n v="2"/>
    <n v="6"/>
    <n v="7"/>
  </r>
  <r>
    <n v="39"/>
    <x v="1"/>
    <s v="Travel_Rarely"/>
    <n v="1498"/>
    <x v="0"/>
    <x v="11"/>
    <n v="4"/>
    <s v="Life Sciences"/>
    <n v="1"/>
    <n v="1390"/>
    <n v="1"/>
    <x v="1"/>
    <n v="44"/>
    <n v="2"/>
    <x v="0"/>
    <x v="0"/>
    <n v="4"/>
    <s v="Married"/>
    <n v="6120"/>
    <n v="3567"/>
    <n v="3"/>
    <s v="Y"/>
    <x v="0"/>
    <n v="12"/>
    <n v="3"/>
    <n v="4"/>
    <n v="80"/>
    <n v="2"/>
    <n v="8"/>
    <n v="2"/>
    <n v="4"/>
    <x v="8"/>
    <n v="4"/>
    <n v="1"/>
    <n v="4"/>
  </r>
  <r>
    <n v="51"/>
    <x v="1"/>
    <s v="Travel_Frequently"/>
    <n v="541"/>
    <x v="0"/>
    <x v="2"/>
    <n v="3"/>
    <s v="Marketing"/>
    <n v="1"/>
    <n v="1391"/>
    <n v="2"/>
    <x v="1"/>
    <n v="52"/>
    <n v="3"/>
    <x v="2"/>
    <x v="0"/>
    <n v="2"/>
    <s v="Married"/>
    <n v="10596"/>
    <n v="15395"/>
    <n v="2"/>
    <s v="Y"/>
    <x v="1"/>
    <n v="11"/>
    <n v="3"/>
    <n v="2"/>
    <n v="80"/>
    <n v="0"/>
    <n v="14"/>
    <n v="5"/>
    <n v="3"/>
    <x v="9"/>
    <n v="2"/>
    <n v="3"/>
    <n v="2"/>
  </r>
  <r>
    <n v="41"/>
    <x v="1"/>
    <s v="Travel_Frequently"/>
    <n v="1200"/>
    <x v="1"/>
    <x v="23"/>
    <n v="3"/>
    <s v="Life Sciences"/>
    <n v="1"/>
    <n v="1392"/>
    <n v="4"/>
    <x v="0"/>
    <n v="75"/>
    <n v="3"/>
    <x v="0"/>
    <x v="1"/>
    <n v="4"/>
    <s v="Divorced"/>
    <n v="5467"/>
    <n v="13953"/>
    <n v="3"/>
    <s v="Y"/>
    <x v="0"/>
    <n v="14"/>
    <n v="3"/>
    <n v="1"/>
    <n v="80"/>
    <n v="2"/>
    <n v="12"/>
    <n v="4"/>
    <n v="2"/>
    <x v="0"/>
    <n v="2"/>
    <n v="3"/>
    <n v="3"/>
  </r>
  <r>
    <n v="37"/>
    <x v="1"/>
    <s v="Travel_Rarely"/>
    <n v="1439"/>
    <x v="1"/>
    <x v="18"/>
    <n v="1"/>
    <s v="Life Sciences"/>
    <n v="1"/>
    <n v="1394"/>
    <n v="3"/>
    <x v="1"/>
    <n v="54"/>
    <n v="3"/>
    <x v="1"/>
    <x v="1"/>
    <n v="3"/>
    <s v="Married"/>
    <n v="2996"/>
    <n v="5182"/>
    <n v="7"/>
    <s v="Y"/>
    <x v="0"/>
    <n v="15"/>
    <n v="3"/>
    <n v="4"/>
    <n v="80"/>
    <n v="0"/>
    <n v="8"/>
    <n v="2"/>
    <n v="3"/>
    <x v="0"/>
    <n v="4"/>
    <n v="1"/>
    <n v="3"/>
  </r>
  <r>
    <n v="33"/>
    <x v="1"/>
    <s v="Travel_Frequently"/>
    <n v="1111"/>
    <x v="0"/>
    <x v="12"/>
    <n v="1"/>
    <s v="Life Sciences"/>
    <n v="1"/>
    <n v="1395"/>
    <n v="2"/>
    <x v="1"/>
    <n v="61"/>
    <n v="3"/>
    <x v="0"/>
    <x v="0"/>
    <n v="4"/>
    <s v="Married"/>
    <n v="9998"/>
    <n v="19293"/>
    <n v="6"/>
    <s v="Y"/>
    <x v="1"/>
    <n v="13"/>
    <n v="3"/>
    <n v="1"/>
    <n v="80"/>
    <n v="0"/>
    <n v="8"/>
    <n v="2"/>
    <n v="4"/>
    <x v="8"/>
    <n v="4"/>
    <n v="1"/>
    <n v="2"/>
  </r>
  <r>
    <n v="32"/>
    <x v="1"/>
    <s v="Travel_Rarely"/>
    <n v="499"/>
    <x v="0"/>
    <x v="2"/>
    <n v="1"/>
    <s v="Marketing"/>
    <n v="1"/>
    <n v="1396"/>
    <n v="3"/>
    <x v="1"/>
    <n v="36"/>
    <n v="3"/>
    <x v="0"/>
    <x v="0"/>
    <n v="2"/>
    <s v="Married"/>
    <n v="4078"/>
    <n v="20497"/>
    <n v="0"/>
    <s v="Y"/>
    <x v="0"/>
    <n v="13"/>
    <n v="3"/>
    <n v="1"/>
    <n v="80"/>
    <n v="3"/>
    <n v="4"/>
    <n v="3"/>
    <n v="2"/>
    <x v="11"/>
    <n v="2"/>
    <n v="1"/>
    <n v="2"/>
  </r>
  <r>
    <n v="39"/>
    <x v="1"/>
    <s v="Non-Travel"/>
    <n v="1485"/>
    <x v="1"/>
    <x v="19"/>
    <n v="2"/>
    <s v="Life Sciences"/>
    <n v="1"/>
    <n v="1397"/>
    <n v="3"/>
    <x v="1"/>
    <n v="71"/>
    <n v="3"/>
    <x v="2"/>
    <x v="4"/>
    <n v="3"/>
    <s v="Married"/>
    <n v="10920"/>
    <n v="3449"/>
    <n v="3"/>
    <s v="Y"/>
    <x v="1"/>
    <n v="21"/>
    <n v="4"/>
    <n v="2"/>
    <n v="80"/>
    <n v="1"/>
    <n v="13"/>
    <n v="2"/>
    <n v="3"/>
    <x v="0"/>
    <n v="4"/>
    <n v="0"/>
    <n v="5"/>
  </r>
  <r>
    <n v="25"/>
    <x v="1"/>
    <s v="Travel_Rarely"/>
    <n v="1372"/>
    <x v="0"/>
    <x v="21"/>
    <n v="1"/>
    <s v="Life Sciences"/>
    <n v="1"/>
    <n v="1399"/>
    <n v="1"/>
    <x v="1"/>
    <n v="93"/>
    <n v="4"/>
    <x v="0"/>
    <x v="0"/>
    <n v="3"/>
    <s v="Married"/>
    <n v="6232"/>
    <n v="12477"/>
    <n v="2"/>
    <s v="Y"/>
    <x v="1"/>
    <n v="11"/>
    <n v="3"/>
    <n v="2"/>
    <n v="80"/>
    <n v="0"/>
    <n v="6"/>
    <n v="3"/>
    <n v="2"/>
    <x v="11"/>
    <n v="2"/>
    <n v="1"/>
    <n v="2"/>
  </r>
  <r>
    <n v="52"/>
    <x v="1"/>
    <s v="Travel_Frequently"/>
    <n v="322"/>
    <x v="1"/>
    <x v="26"/>
    <n v="2"/>
    <s v="Medical"/>
    <n v="1"/>
    <n v="1401"/>
    <n v="4"/>
    <x v="0"/>
    <n v="59"/>
    <n v="4"/>
    <x v="3"/>
    <x v="3"/>
    <n v="3"/>
    <s v="Married"/>
    <n v="13247"/>
    <n v="9731"/>
    <n v="2"/>
    <s v="Y"/>
    <x v="0"/>
    <n v="11"/>
    <n v="3"/>
    <n v="2"/>
    <n v="80"/>
    <n v="1"/>
    <n v="24"/>
    <n v="3"/>
    <n v="2"/>
    <x v="8"/>
    <n v="3"/>
    <n v="0"/>
    <n v="2"/>
  </r>
  <r>
    <n v="43"/>
    <x v="1"/>
    <s v="Travel_Rarely"/>
    <n v="930"/>
    <x v="1"/>
    <x v="16"/>
    <n v="3"/>
    <s v="Medical"/>
    <n v="1"/>
    <n v="1402"/>
    <n v="1"/>
    <x v="0"/>
    <n v="73"/>
    <n v="2"/>
    <x v="0"/>
    <x v="1"/>
    <n v="3"/>
    <s v="Single"/>
    <n v="4081"/>
    <n v="20003"/>
    <n v="1"/>
    <s v="Y"/>
    <x v="0"/>
    <n v="14"/>
    <n v="3"/>
    <n v="1"/>
    <n v="80"/>
    <n v="0"/>
    <n v="20"/>
    <n v="3"/>
    <n v="1"/>
    <x v="23"/>
    <n v="7"/>
    <n v="1"/>
    <n v="8"/>
  </r>
  <r>
    <n v="27"/>
    <x v="1"/>
    <s v="Travel_Rarely"/>
    <n v="205"/>
    <x v="0"/>
    <x v="17"/>
    <n v="3"/>
    <s v="Marketing"/>
    <n v="1"/>
    <n v="1403"/>
    <n v="4"/>
    <x v="0"/>
    <n v="98"/>
    <n v="2"/>
    <x v="0"/>
    <x v="0"/>
    <n v="4"/>
    <s v="Married"/>
    <n v="5769"/>
    <n v="7100"/>
    <n v="1"/>
    <s v="Y"/>
    <x v="0"/>
    <n v="11"/>
    <n v="3"/>
    <n v="4"/>
    <n v="80"/>
    <n v="0"/>
    <n v="6"/>
    <n v="3"/>
    <n v="3"/>
    <x v="0"/>
    <n v="2"/>
    <n v="4"/>
    <n v="4"/>
  </r>
  <r>
    <n v="27"/>
    <x v="0"/>
    <s v="Travel_Rarely"/>
    <n v="135"/>
    <x v="1"/>
    <x v="27"/>
    <n v="4"/>
    <s v="Life Sciences"/>
    <n v="1"/>
    <n v="1405"/>
    <n v="4"/>
    <x v="0"/>
    <n v="51"/>
    <n v="3"/>
    <x v="1"/>
    <x v="1"/>
    <n v="3"/>
    <s v="Single"/>
    <n v="2394"/>
    <n v="25681"/>
    <n v="1"/>
    <s v="Y"/>
    <x v="0"/>
    <n v="13"/>
    <n v="3"/>
    <n v="4"/>
    <n v="80"/>
    <n v="0"/>
    <n v="8"/>
    <n v="2"/>
    <n v="3"/>
    <x v="3"/>
    <n v="2"/>
    <n v="7"/>
    <n v="7"/>
  </r>
  <r>
    <n v="26"/>
    <x v="1"/>
    <s v="Travel_Rarely"/>
    <n v="683"/>
    <x v="1"/>
    <x v="2"/>
    <n v="1"/>
    <s v="Medical"/>
    <n v="1"/>
    <n v="1407"/>
    <n v="1"/>
    <x v="1"/>
    <n v="36"/>
    <n v="2"/>
    <x v="1"/>
    <x v="1"/>
    <n v="4"/>
    <s v="Single"/>
    <n v="3904"/>
    <n v="4050"/>
    <n v="0"/>
    <s v="Y"/>
    <x v="1"/>
    <n v="12"/>
    <n v="3"/>
    <n v="4"/>
    <n v="80"/>
    <n v="0"/>
    <n v="5"/>
    <n v="2"/>
    <n v="3"/>
    <x v="9"/>
    <n v="3"/>
    <n v="1"/>
    <n v="1"/>
  </r>
  <r>
    <n v="42"/>
    <x v="1"/>
    <s v="Travel_Rarely"/>
    <n v="1147"/>
    <x v="2"/>
    <x v="17"/>
    <n v="3"/>
    <s v="Human Resources"/>
    <n v="1"/>
    <n v="1408"/>
    <n v="3"/>
    <x v="0"/>
    <n v="31"/>
    <n v="3"/>
    <x v="3"/>
    <x v="5"/>
    <n v="1"/>
    <s v="Married"/>
    <n v="16799"/>
    <n v="16616"/>
    <n v="0"/>
    <s v="Y"/>
    <x v="1"/>
    <n v="14"/>
    <n v="3"/>
    <n v="3"/>
    <n v="80"/>
    <n v="1"/>
    <n v="21"/>
    <n v="5"/>
    <n v="3"/>
    <x v="23"/>
    <n v="7"/>
    <n v="0"/>
    <n v="9"/>
  </r>
  <r>
    <n v="52"/>
    <x v="1"/>
    <s v="Travel_Rarely"/>
    <n v="258"/>
    <x v="1"/>
    <x v="1"/>
    <n v="4"/>
    <s v="Other"/>
    <n v="1"/>
    <n v="1409"/>
    <n v="3"/>
    <x v="0"/>
    <n v="54"/>
    <n v="3"/>
    <x v="1"/>
    <x v="2"/>
    <n v="1"/>
    <s v="Married"/>
    <n v="2950"/>
    <n v="17363"/>
    <n v="9"/>
    <s v="Y"/>
    <x v="1"/>
    <n v="13"/>
    <n v="3"/>
    <n v="3"/>
    <n v="80"/>
    <n v="0"/>
    <n v="12"/>
    <n v="2"/>
    <n v="1"/>
    <x v="8"/>
    <n v="4"/>
    <n v="0"/>
    <n v="4"/>
  </r>
  <r>
    <n v="37"/>
    <x v="1"/>
    <s v="Travel_Rarely"/>
    <n v="1462"/>
    <x v="1"/>
    <x v="13"/>
    <n v="3"/>
    <s v="Medical"/>
    <n v="1"/>
    <n v="1411"/>
    <n v="1"/>
    <x v="0"/>
    <n v="94"/>
    <n v="3"/>
    <x v="1"/>
    <x v="2"/>
    <n v="3"/>
    <s v="Single"/>
    <n v="3629"/>
    <n v="19106"/>
    <n v="4"/>
    <s v="Y"/>
    <x v="1"/>
    <n v="18"/>
    <n v="3"/>
    <n v="1"/>
    <n v="80"/>
    <n v="0"/>
    <n v="8"/>
    <n v="6"/>
    <n v="3"/>
    <x v="11"/>
    <n v="2"/>
    <n v="0"/>
    <n v="2"/>
  </r>
  <r>
    <n v="35"/>
    <x v="1"/>
    <s v="Travel_Frequently"/>
    <n v="200"/>
    <x v="1"/>
    <x v="21"/>
    <n v="2"/>
    <s v="Life Sciences"/>
    <n v="1"/>
    <n v="1412"/>
    <n v="3"/>
    <x v="1"/>
    <n v="60"/>
    <n v="3"/>
    <x v="2"/>
    <x v="3"/>
    <n v="4"/>
    <s v="Single"/>
    <n v="9362"/>
    <n v="19944"/>
    <n v="2"/>
    <s v="Y"/>
    <x v="1"/>
    <n v="11"/>
    <n v="3"/>
    <n v="3"/>
    <n v="80"/>
    <n v="0"/>
    <n v="10"/>
    <n v="2"/>
    <n v="3"/>
    <x v="4"/>
    <n v="2"/>
    <n v="2"/>
    <n v="2"/>
  </r>
  <r>
    <n v="25"/>
    <x v="1"/>
    <s v="Travel_Rarely"/>
    <n v="949"/>
    <x v="1"/>
    <x v="0"/>
    <n v="3"/>
    <s v="Technical Degree"/>
    <n v="1"/>
    <n v="1415"/>
    <n v="1"/>
    <x v="1"/>
    <n v="81"/>
    <n v="3"/>
    <x v="1"/>
    <x v="2"/>
    <n v="4"/>
    <s v="Married"/>
    <n v="3229"/>
    <n v="4910"/>
    <n v="4"/>
    <s v="Y"/>
    <x v="1"/>
    <n v="11"/>
    <n v="3"/>
    <n v="2"/>
    <n v="80"/>
    <n v="1"/>
    <n v="7"/>
    <n v="2"/>
    <n v="2"/>
    <x v="11"/>
    <n v="2"/>
    <n v="0"/>
    <n v="2"/>
  </r>
  <r>
    <n v="26"/>
    <x v="1"/>
    <s v="Travel_Rarely"/>
    <n v="652"/>
    <x v="1"/>
    <x v="15"/>
    <n v="3"/>
    <s v="Other"/>
    <n v="1"/>
    <n v="1417"/>
    <n v="3"/>
    <x v="1"/>
    <n v="100"/>
    <n v="4"/>
    <x v="1"/>
    <x v="2"/>
    <n v="1"/>
    <s v="Single"/>
    <n v="3578"/>
    <n v="23577"/>
    <n v="0"/>
    <s v="Y"/>
    <x v="1"/>
    <n v="12"/>
    <n v="3"/>
    <n v="4"/>
    <n v="80"/>
    <n v="0"/>
    <n v="8"/>
    <n v="2"/>
    <n v="3"/>
    <x v="5"/>
    <n v="7"/>
    <n v="0"/>
    <n v="7"/>
  </r>
  <r>
    <n v="29"/>
    <x v="1"/>
    <s v="Travel_Rarely"/>
    <n v="332"/>
    <x v="2"/>
    <x v="27"/>
    <n v="3"/>
    <s v="Other"/>
    <n v="1"/>
    <n v="1419"/>
    <n v="2"/>
    <x v="1"/>
    <n v="51"/>
    <n v="2"/>
    <x v="2"/>
    <x v="8"/>
    <n v="1"/>
    <s v="Single"/>
    <n v="7988"/>
    <n v="9769"/>
    <n v="1"/>
    <s v="Y"/>
    <x v="1"/>
    <n v="13"/>
    <n v="3"/>
    <n v="1"/>
    <n v="80"/>
    <n v="0"/>
    <n v="10"/>
    <n v="3"/>
    <n v="2"/>
    <x v="1"/>
    <n v="9"/>
    <n v="0"/>
    <n v="9"/>
  </r>
  <r>
    <n v="49"/>
    <x v="0"/>
    <s v="Travel_Frequently"/>
    <n v="1475"/>
    <x v="1"/>
    <x v="26"/>
    <n v="2"/>
    <s v="Life Sciences"/>
    <n v="1"/>
    <n v="1420"/>
    <n v="1"/>
    <x v="1"/>
    <n v="97"/>
    <n v="2"/>
    <x v="0"/>
    <x v="2"/>
    <n v="1"/>
    <s v="Single"/>
    <n v="4284"/>
    <n v="22710"/>
    <n v="3"/>
    <s v="Y"/>
    <x v="1"/>
    <n v="20"/>
    <n v="4"/>
    <n v="1"/>
    <n v="80"/>
    <n v="0"/>
    <n v="20"/>
    <n v="2"/>
    <n v="3"/>
    <x v="9"/>
    <n v="3"/>
    <n v="1"/>
    <n v="3"/>
  </r>
  <r>
    <n v="29"/>
    <x v="0"/>
    <s v="Travel_Frequently"/>
    <n v="337"/>
    <x v="1"/>
    <x v="24"/>
    <n v="1"/>
    <s v="Other"/>
    <n v="1"/>
    <n v="1421"/>
    <n v="3"/>
    <x v="0"/>
    <n v="84"/>
    <n v="3"/>
    <x v="2"/>
    <x v="4"/>
    <n v="4"/>
    <s v="Single"/>
    <n v="7553"/>
    <n v="22930"/>
    <n v="0"/>
    <s v="Y"/>
    <x v="0"/>
    <n v="12"/>
    <n v="3"/>
    <n v="1"/>
    <n v="80"/>
    <n v="0"/>
    <n v="9"/>
    <n v="1"/>
    <n v="3"/>
    <x v="3"/>
    <n v="7"/>
    <n v="7"/>
    <n v="7"/>
  </r>
  <r>
    <n v="54"/>
    <x v="1"/>
    <s v="Travel_Rarely"/>
    <n v="971"/>
    <x v="1"/>
    <x v="0"/>
    <n v="3"/>
    <s v="Medical"/>
    <n v="1"/>
    <n v="1422"/>
    <n v="4"/>
    <x v="0"/>
    <n v="54"/>
    <n v="3"/>
    <x v="3"/>
    <x v="7"/>
    <n v="4"/>
    <s v="Single"/>
    <n v="17328"/>
    <n v="5652"/>
    <n v="6"/>
    <s v="Y"/>
    <x v="1"/>
    <n v="19"/>
    <n v="3"/>
    <n v="4"/>
    <n v="80"/>
    <n v="0"/>
    <n v="29"/>
    <n v="3"/>
    <n v="2"/>
    <x v="23"/>
    <n v="7"/>
    <n v="12"/>
    <n v="7"/>
  </r>
  <r>
    <n v="58"/>
    <x v="1"/>
    <s v="Travel_Rarely"/>
    <n v="1055"/>
    <x v="1"/>
    <x v="0"/>
    <n v="3"/>
    <s v="Medical"/>
    <n v="1"/>
    <n v="1423"/>
    <n v="4"/>
    <x v="0"/>
    <n v="76"/>
    <n v="3"/>
    <x v="4"/>
    <x v="7"/>
    <n v="1"/>
    <s v="Married"/>
    <n v="19701"/>
    <n v="22456"/>
    <n v="3"/>
    <s v="Y"/>
    <x v="0"/>
    <n v="21"/>
    <n v="4"/>
    <n v="3"/>
    <n v="80"/>
    <n v="1"/>
    <n v="32"/>
    <n v="3"/>
    <n v="3"/>
    <x v="7"/>
    <n v="8"/>
    <n v="1"/>
    <n v="5"/>
  </r>
  <r>
    <n v="55"/>
    <x v="1"/>
    <s v="Travel_Rarely"/>
    <n v="1136"/>
    <x v="1"/>
    <x v="0"/>
    <n v="4"/>
    <s v="Medical"/>
    <n v="1"/>
    <n v="1424"/>
    <n v="2"/>
    <x v="1"/>
    <n v="81"/>
    <n v="4"/>
    <x v="3"/>
    <x v="7"/>
    <n v="4"/>
    <s v="Divorced"/>
    <n v="14732"/>
    <n v="12414"/>
    <n v="2"/>
    <s v="Y"/>
    <x v="1"/>
    <n v="13"/>
    <n v="3"/>
    <n v="4"/>
    <n v="80"/>
    <n v="2"/>
    <n v="31"/>
    <n v="4"/>
    <n v="4"/>
    <x v="5"/>
    <n v="7"/>
    <n v="0"/>
    <n v="0"/>
  </r>
  <r>
    <n v="36"/>
    <x v="1"/>
    <s v="Travel_Rarely"/>
    <n v="1174"/>
    <x v="0"/>
    <x v="3"/>
    <n v="4"/>
    <s v="Marketing"/>
    <n v="1"/>
    <n v="1425"/>
    <n v="1"/>
    <x v="0"/>
    <n v="99"/>
    <n v="3"/>
    <x v="0"/>
    <x v="0"/>
    <n v="2"/>
    <s v="Single"/>
    <n v="9278"/>
    <n v="20763"/>
    <n v="3"/>
    <s v="Y"/>
    <x v="0"/>
    <n v="16"/>
    <n v="3"/>
    <n v="4"/>
    <n v="80"/>
    <n v="0"/>
    <n v="15"/>
    <n v="3"/>
    <n v="3"/>
    <x v="8"/>
    <n v="4"/>
    <n v="0"/>
    <n v="1"/>
  </r>
  <r>
    <n v="31"/>
    <x v="0"/>
    <s v="Travel_Frequently"/>
    <n v="667"/>
    <x v="0"/>
    <x v="0"/>
    <n v="4"/>
    <s v="Life Sciences"/>
    <n v="1"/>
    <n v="1427"/>
    <n v="2"/>
    <x v="0"/>
    <n v="50"/>
    <n v="1"/>
    <x v="1"/>
    <x v="6"/>
    <n v="3"/>
    <s v="Single"/>
    <n v="1359"/>
    <n v="16154"/>
    <n v="1"/>
    <s v="Y"/>
    <x v="1"/>
    <n v="12"/>
    <n v="3"/>
    <n v="2"/>
    <n v="80"/>
    <n v="0"/>
    <n v="1"/>
    <n v="3"/>
    <n v="3"/>
    <x v="6"/>
    <n v="0"/>
    <n v="0"/>
    <n v="0"/>
  </r>
  <r>
    <n v="30"/>
    <x v="1"/>
    <s v="Travel_Rarely"/>
    <n v="855"/>
    <x v="0"/>
    <x v="15"/>
    <n v="4"/>
    <s v="Marketing"/>
    <n v="1"/>
    <n v="1428"/>
    <n v="4"/>
    <x v="0"/>
    <n v="73"/>
    <n v="3"/>
    <x v="0"/>
    <x v="0"/>
    <n v="1"/>
    <s v="Divorced"/>
    <n v="4779"/>
    <n v="12761"/>
    <n v="7"/>
    <s v="Y"/>
    <x v="1"/>
    <n v="14"/>
    <n v="3"/>
    <n v="2"/>
    <n v="80"/>
    <n v="2"/>
    <n v="8"/>
    <n v="3"/>
    <n v="3"/>
    <x v="11"/>
    <n v="2"/>
    <n v="0"/>
    <n v="2"/>
  </r>
  <r>
    <n v="31"/>
    <x v="1"/>
    <s v="Travel_Rarely"/>
    <n v="182"/>
    <x v="1"/>
    <x v="1"/>
    <n v="5"/>
    <s v="Life Sciences"/>
    <n v="1"/>
    <n v="1430"/>
    <n v="1"/>
    <x v="0"/>
    <n v="93"/>
    <n v="3"/>
    <x v="3"/>
    <x v="7"/>
    <n v="2"/>
    <s v="Single"/>
    <n v="16422"/>
    <n v="8847"/>
    <n v="3"/>
    <s v="Y"/>
    <x v="1"/>
    <n v="11"/>
    <n v="3"/>
    <n v="3"/>
    <n v="80"/>
    <n v="0"/>
    <n v="9"/>
    <n v="3"/>
    <n v="4"/>
    <x v="11"/>
    <n v="2"/>
    <n v="1"/>
    <n v="0"/>
  </r>
  <r>
    <n v="34"/>
    <x v="1"/>
    <s v="Travel_Frequently"/>
    <n v="560"/>
    <x v="1"/>
    <x v="0"/>
    <n v="4"/>
    <s v="Other"/>
    <n v="1"/>
    <n v="1431"/>
    <n v="4"/>
    <x v="1"/>
    <n v="91"/>
    <n v="3"/>
    <x v="1"/>
    <x v="1"/>
    <n v="1"/>
    <s v="Divorced"/>
    <n v="2996"/>
    <n v="20284"/>
    <n v="5"/>
    <s v="Y"/>
    <x v="1"/>
    <n v="14"/>
    <n v="3"/>
    <n v="3"/>
    <n v="80"/>
    <n v="2"/>
    <n v="10"/>
    <n v="2"/>
    <n v="3"/>
    <x v="9"/>
    <n v="3"/>
    <n v="1"/>
    <n v="3"/>
  </r>
  <r>
    <n v="31"/>
    <x v="0"/>
    <s v="Travel_Rarely"/>
    <n v="202"/>
    <x v="1"/>
    <x v="1"/>
    <n v="3"/>
    <s v="Life Sciences"/>
    <n v="1"/>
    <n v="1433"/>
    <n v="1"/>
    <x v="0"/>
    <n v="34"/>
    <n v="2"/>
    <x v="1"/>
    <x v="1"/>
    <n v="2"/>
    <s v="Single"/>
    <n v="1261"/>
    <n v="22262"/>
    <n v="1"/>
    <s v="Y"/>
    <x v="1"/>
    <n v="12"/>
    <n v="3"/>
    <n v="3"/>
    <n v="80"/>
    <n v="0"/>
    <n v="1"/>
    <n v="3"/>
    <n v="4"/>
    <x v="6"/>
    <n v="0"/>
    <n v="0"/>
    <n v="0"/>
  </r>
  <r>
    <n v="27"/>
    <x v="1"/>
    <s v="Travel_Rarely"/>
    <n v="1377"/>
    <x v="1"/>
    <x v="13"/>
    <n v="1"/>
    <s v="Life Sciences"/>
    <n v="1"/>
    <n v="1434"/>
    <n v="2"/>
    <x v="1"/>
    <n v="91"/>
    <n v="3"/>
    <x v="1"/>
    <x v="2"/>
    <n v="1"/>
    <s v="Married"/>
    <n v="2099"/>
    <n v="7679"/>
    <n v="0"/>
    <s v="Y"/>
    <x v="1"/>
    <n v="14"/>
    <n v="3"/>
    <n v="2"/>
    <n v="80"/>
    <n v="0"/>
    <n v="6"/>
    <n v="3"/>
    <n v="4"/>
    <x v="8"/>
    <n v="0"/>
    <n v="1"/>
    <n v="4"/>
  </r>
  <r>
    <n v="36"/>
    <x v="1"/>
    <s v="Travel_Rarely"/>
    <n v="172"/>
    <x v="1"/>
    <x v="18"/>
    <n v="4"/>
    <s v="Life Sciences"/>
    <n v="1"/>
    <n v="1435"/>
    <n v="1"/>
    <x v="1"/>
    <n v="37"/>
    <n v="2"/>
    <x v="0"/>
    <x v="2"/>
    <n v="4"/>
    <s v="Single"/>
    <n v="5810"/>
    <n v="22604"/>
    <n v="1"/>
    <s v="Y"/>
    <x v="1"/>
    <n v="16"/>
    <n v="3"/>
    <n v="3"/>
    <n v="80"/>
    <n v="0"/>
    <n v="10"/>
    <n v="2"/>
    <n v="2"/>
    <x v="1"/>
    <n v="4"/>
    <n v="1"/>
    <n v="8"/>
  </r>
  <r>
    <n v="36"/>
    <x v="1"/>
    <s v="Travel_Rarely"/>
    <n v="329"/>
    <x v="0"/>
    <x v="7"/>
    <n v="4"/>
    <s v="Marketing"/>
    <n v="1"/>
    <n v="1436"/>
    <n v="3"/>
    <x v="0"/>
    <n v="98"/>
    <n v="2"/>
    <x v="0"/>
    <x v="0"/>
    <n v="1"/>
    <s v="Married"/>
    <n v="5647"/>
    <n v="13494"/>
    <n v="4"/>
    <s v="Y"/>
    <x v="1"/>
    <n v="13"/>
    <n v="3"/>
    <n v="1"/>
    <n v="80"/>
    <n v="2"/>
    <n v="11"/>
    <n v="3"/>
    <n v="2"/>
    <x v="11"/>
    <n v="2"/>
    <n v="0"/>
    <n v="2"/>
  </r>
  <r>
    <n v="47"/>
    <x v="1"/>
    <s v="Travel_Rarely"/>
    <n v="465"/>
    <x v="1"/>
    <x v="0"/>
    <n v="3"/>
    <s v="Technical Degree"/>
    <n v="1"/>
    <n v="1438"/>
    <n v="1"/>
    <x v="1"/>
    <n v="74"/>
    <n v="3"/>
    <x v="1"/>
    <x v="1"/>
    <n v="4"/>
    <s v="Married"/>
    <n v="3420"/>
    <n v="10205"/>
    <n v="7"/>
    <s v="Y"/>
    <x v="1"/>
    <n v="12"/>
    <n v="3"/>
    <n v="3"/>
    <n v="80"/>
    <n v="1"/>
    <n v="17"/>
    <n v="2"/>
    <n v="2"/>
    <x v="0"/>
    <n v="5"/>
    <n v="1"/>
    <n v="2"/>
  </r>
  <r>
    <n v="25"/>
    <x v="0"/>
    <s v="Travel_Rarely"/>
    <n v="383"/>
    <x v="0"/>
    <x v="14"/>
    <n v="2"/>
    <s v="Life Sciences"/>
    <n v="1"/>
    <n v="1439"/>
    <n v="1"/>
    <x v="1"/>
    <n v="68"/>
    <n v="2"/>
    <x v="1"/>
    <x v="6"/>
    <n v="1"/>
    <s v="Married"/>
    <n v="4400"/>
    <n v="15182"/>
    <n v="3"/>
    <s v="Y"/>
    <x v="1"/>
    <n v="12"/>
    <n v="3"/>
    <n v="1"/>
    <n v="80"/>
    <n v="0"/>
    <n v="6"/>
    <n v="2"/>
    <n v="3"/>
    <x v="11"/>
    <n v="2"/>
    <n v="2"/>
    <n v="2"/>
  </r>
  <r>
    <n v="37"/>
    <x v="1"/>
    <s v="Non-Travel"/>
    <n v="1413"/>
    <x v="1"/>
    <x v="12"/>
    <n v="2"/>
    <s v="Technical Degree"/>
    <n v="1"/>
    <n v="1440"/>
    <n v="3"/>
    <x v="1"/>
    <n v="84"/>
    <n v="4"/>
    <x v="1"/>
    <x v="2"/>
    <n v="3"/>
    <s v="Single"/>
    <n v="3500"/>
    <n v="25470"/>
    <n v="0"/>
    <s v="Y"/>
    <x v="1"/>
    <n v="14"/>
    <n v="3"/>
    <n v="1"/>
    <n v="80"/>
    <n v="0"/>
    <n v="7"/>
    <n v="2"/>
    <n v="1"/>
    <x v="0"/>
    <n v="5"/>
    <n v="1"/>
    <n v="3"/>
  </r>
  <r>
    <n v="56"/>
    <x v="1"/>
    <s v="Travel_Rarely"/>
    <n v="1255"/>
    <x v="1"/>
    <x v="0"/>
    <n v="2"/>
    <s v="Life Sciences"/>
    <n v="1"/>
    <n v="1441"/>
    <n v="1"/>
    <x v="0"/>
    <n v="90"/>
    <n v="3"/>
    <x v="1"/>
    <x v="1"/>
    <n v="1"/>
    <s v="Married"/>
    <n v="2066"/>
    <n v="10494"/>
    <n v="2"/>
    <s v="Y"/>
    <x v="1"/>
    <n v="22"/>
    <n v="4"/>
    <n v="4"/>
    <n v="80"/>
    <n v="1"/>
    <n v="5"/>
    <n v="3"/>
    <n v="4"/>
    <x v="11"/>
    <n v="2"/>
    <n v="1"/>
    <n v="0"/>
  </r>
  <r>
    <n v="47"/>
    <x v="1"/>
    <s v="Travel_Rarely"/>
    <n v="359"/>
    <x v="1"/>
    <x v="2"/>
    <n v="4"/>
    <s v="Medical"/>
    <n v="1"/>
    <n v="1443"/>
    <n v="1"/>
    <x v="0"/>
    <n v="82"/>
    <n v="3"/>
    <x v="3"/>
    <x v="7"/>
    <n v="3"/>
    <s v="Married"/>
    <n v="17169"/>
    <n v="26703"/>
    <n v="3"/>
    <s v="Y"/>
    <x v="1"/>
    <n v="19"/>
    <n v="3"/>
    <n v="2"/>
    <n v="80"/>
    <n v="2"/>
    <n v="26"/>
    <n v="2"/>
    <n v="4"/>
    <x v="23"/>
    <n v="17"/>
    <n v="5"/>
    <n v="6"/>
  </r>
  <r>
    <n v="24"/>
    <x v="1"/>
    <s v="Travel_Rarely"/>
    <n v="1476"/>
    <x v="0"/>
    <x v="18"/>
    <n v="1"/>
    <s v="Medical"/>
    <n v="1"/>
    <n v="1445"/>
    <n v="4"/>
    <x v="0"/>
    <n v="42"/>
    <n v="3"/>
    <x v="0"/>
    <x v="0"/>
    <n v="3"/>
    <s v="Married"/>
    <n v="4162"/>
    <n v="15211"/>
    <n v="1"/>
    <s v="Y"/>
    <x v="0"/>
    <n v="12"/>
    <n v="3"/>
    <n v="3"/>
    <n v="80"/>
    <n v="2"/>
    <n v="5"/>
    <n v="3"/>
    <n v="3"/>
    <x v="8"/>
    <n v="4"/>
    <n v="0"/>
    <n v="3"/>
  </r>
  <r>
    <n v="32"/>
    <x v="1"/>
    <s v="Travel_Rarely"/>
    <n v="601"/>
    <x v="0"/>
    <x v="15"/>
    <n v="5"/>
    <s v="Marketing"/>
    <n v="1"/>
    <n v="1446"/>
    <n v="4"/>
    <x v="1"/>
    <n v="97"/>
    <n v="3"/>
    <x v="0"/>
    <x v="0"/>
    <n v="4"/>
    <s v="Married"/>
    <n v="9204"/>
    <n v="23343"/>
    <n v="4"/>
    <s v="Y"/>
    <x v="1"/>
    <n v="12"/>
    <n v="3"/>
    <n v="3"/>
    <n v="80"/>
    <n v="1"/>
    <n v="7"/>
    <n v="3"/>
    <n v="2"/>
    <x v="9"/>
    <n v="3"/>
    <n v="0"/>
    <n v="3"/>
  </r>
  <r>
    <n v="34"/>
    <x v="1"/>
    <s v="Travel_Rarely"/>
    <n v="401"/>
    <x v="1"/>
    <x v="0"/>
    <n v="3"/>
    <s v="Life Sciences"/>
    <n v="1"/>
    <n v="1447"/>
    <n v="4"/>
    <x v="0"/>
    <n v="86"/>
    <n v="2"/>
    <x v="1"/>
    <x v="2"/>
    <n v="2"/>
    <s v="Married"/>
    <n v="3294"/>
    <n v="3708"/>
    <n v="5"/>
    <s v="Y"/>
    <x v="1"/>
    <n v="17"/>
    <n v="3"/>
    <n v="1"/>
    <n v="80"/>
    <n v="1"/>
    <n v="7"/>
    <n v="2"/>
    <n v="2"/>
    <x v="8"/>
    <n v="4"/>
    <n v="0"/>
    <n v="2"/>
  </r>
  <r>
    <n v="41"/>
    <x v="1"/>
    <s v="Travel_Rarely"/>
    <n v="1283"/>
    <x v="1"/>
    <x v="12"/>
    <n v="5"/>
    <s v="Medical"/>
    <n v="1"/>
    <n v="1448"/>
    <n v="2"/>
    <x v="1"/>
    <n v="90"/>
    <n v="4"/>
    <x v="1"/>
    <x v="1"/>
    <n v="3"/>
    <s v="Married"/>
    <n v="2127"/>
    <n v="5561"/>
    <n v="2"/>
    <s v="Y"/>
    <x v="0"/>
    <n v="12"/>
    <n v="3"/>
    <n v="1"/>
    <n v="80"/>
    <n v="0"/>
    <n v="7"/>
    <n v="5"/>
    <n v="2"/>
    <x v="9"/>
    <n v="2"/>
    <n v="0"/>
    <n v="3"/>
  </r>
  <r>
    <n v="40"/>
    <x v="1"/>
    <s v="Non-Travel"/>
    <n v="663"/>
    <x v="1"/>
    <x v="14"/>
    <n v="4"/>
    <s v="Other"/>
    <n v="1"/>
    <n v="1449"/>
    <n v="3"/>
    <x v="1"/>
    <n v="81"/>
    <n v="3"/>
    <x v="0"/>
    <x v="2"/>
    <n v="3"/>
    <s v="Divorced"/>
    <n v="3975"/>
    <n v="23099"/>
    <n v="3"/>
    <s v="Y"/>
    <x v="1"/>
    <n v="11"/>
    <n v="3"/>
    <n v="3"/>
    <n v="80"/>
    <n v="2"/>
    <n v="11"/>
    <n v="2"/>
    <n v="4"/>
    <x v="3"/>
    <n v="7"/>
    <n v="0"/>
    <n v="7"/>
  </r>
  <r>
    <n v="31"/>
    <x v="1"/>
    <s v="Travel_Rarely"/>
    <n v="326"/>
    <x v="0"/>
    <x v="1"/>
    <n v="2"/>
    <s v="Life Sciences"/>
    <n v="1"/>
    <n v="1453"/>
    <n v="1"/>
    <x v="1"/>
    <n v="31"/>
    <n v="3"/>
    <x v="2"/>
    <x v="0"/>
    <n v="4"/>
    <s v="Divorced"/>
    <n v="10793"/>
    <n v="8386"/>
    <n v="1"/>
    <s v="Y"/>
    <x v="1"/>
    <n v="18"/>
    <n v="3"/>
    <n v="1"/>
    <n v="80"/>
    <n v="1"/>
    <n v="13"/>
    <n v="5"/>
    <n v="3"/>
    <x v="20"/>
    <n v="7"/>
    <n v="9"/>
    <n v="9"/>
  </r>
  <r>
    <n v="46"/>
    <x v="0"/>
    <s v="Travel_Rarely"/>
    <n v="377"/>
    <x v="0"/>
    <x v="14"/>
    <n v="3"/>
    <s v="Marketing"/>
    <n v="1"/>
    <n v="1457"/>
    <n v="1"/>
    <x v="1"/>
    <n v="52"/>
    <n v="3"/>
    <x v="2"/>
    <x v="0"/>
    <n v="4"/>
    <s v="Divorced"/>
    <n v="10096"/>
    <n v="15986"/>
    <n v="4"/>
    <s v="Y"/>
    <x v="1"/>
    <n v="11"/>
    <n v="3"/>
    <n v="1"/>
    <n v="80"/>
    <n v="1"/>
    <n v="28"/>
    <n v="1"/>
    <n v="4"/>
    <x v="5"/>
    <n v="7"/>
    <n v="4"/>
    <n v="3"/>
  </r>
  <r>
    <n v="39"/>
    <x v="0"/>
    <s v="Non-Travel"/>
    <n v="592"/>
    <x v="1"/>
    <x v="2"/>
    <n v="3"/>
    <s v="Life Sciences"/>
    <n v="1"/>
    <n v="1458"/>
    <n v="1"/>
    <x v="0"/>
    <n v="54"/>
    <n v="2"/>
    <x v="1"/>
    <x v="2"/>
    <n v="1"/>
    <s v="Single"/>
    <n v="3646"/>
    <n v="17181"/>
    <n v="2"/>
    <s v="Y"/>
    <x v="0"/>
    <n v="23"/>
    <n v="4"/>
    <n v="2"/>
    <n v="80"/>
    <n v="0"/>
    <n v="11"/>
    <n v="2"/>
    <n v="4"/>
    <x v="6"/>
    <n v="0"/>
    <n v="0"/>
    <n v="0"/>
  </r>
  <r>
    <n v="31"/>
    <x v="0"/>
    <s v="Travel_Frequently"/>
    <n v="1445"/>
    <x v="1"/>
    <x v="0"/>
    <n v="5"/>
    <s v="Life Sciences"/>
    <n v="1"/>
    <n v="1459"/>
    <n v="3"/>
    <x v="0"/>
    <n v="100"/>
    <n v="4"/>
    <x v="2"/>
    <x v="3"/>
    <n v="2"/>
    <s v="Single"/>
    <n v="7446"/>
    <n v="8931"/>
    <n v="1"/>
    <s v="Y"/>
    <x v="1"/>
    <n v="11"/>
    <n v="3"/>
    <n v="1"/>
    <n v="80"/>
    <n v="0"/>
    <n v="10"/>
    <n v="2"/>
    <n v="3"/>
    <x v="1"/>
    <n v="8"/>
    <n v="4"/>
    <n v="7"/>
  </r>
  <r>
    <n v="45"/>
    <x v="1"/>
    <s v="Travel_Rarely"/>
    <n v="1038"/>
    <x v="1"/>
    <x v="25"/>
    <n v="3"/>
    <s v="Medical"/>
    <n v="1"/>
    <n v="1460"/>
    <n v="2"/>
    <x v="1"/>
    <n v="95"/>
    <n v="1"/>
    <x v="2"/>
    <x v="4"/>
    <n v="1"/>
    <s v="Divorced"/>
    <n v="10851"/>
    <n v="19863"/>
    <n v="2"/>
    <s v="Y"/>
    <x v="0"/>
    <n v="18"/>
    <n v="3"/>
    <n v="2"/>
    <n v="80"/>
    <n v="1"/>
    <n v="24"/>
    <n v="2"/>
    <n v="3"/>
    <x v="5"/>
    <n v="7"/>
    <n v="0"/>
    <n v="7"/>
  </r>
  <r>
    <n v="31"/>
    <x v="1"/>
    <s v="Travel_Rarely"/>
    <n v="1398"/>
    <x v="2"/>
    <x v="1"/>
    <n v="2"/>
    <s v="Medical"/>
    <n v="1"/>
    <n v="1461"/>
    <n v="4"/>
    <x v="0"/>
    <n v="96"/>
    <n v="4"/>
    <x v="1"/>
    <x v="8"/>
    <n v="2"/>
    <s v="Single"/>
    <n v="2109"/>
    <n v="24609"/>
    <n v="9"/>
    <s v="Y"/>
    <x v="1"/>
    <n v="18"/>
    <n v="3"/>
    <n v="4"/>
    <n v="80"/>
    <n v="0"/>
    <n v="8"/>
    <n v="3"/>
    <n v="3"/>
    <x v="11"/>
    <n v="2"/>
    <n v="0"/>
    <n v="2"/>
  </r>
  <r>
    <n v="31"/>
    <x v="0"/>
    <s v="Travel_Frequently"/>
    <n v="523"/>
    <x v="1"/>
    <x v="2"/>
    <n v="3"/>
    <s v="Life Sciences"/>
    <n v="1"/>
    <n v="1464"/>
    <n v="2"/>
    <x v="1"/>
    <n v="94"/>
    <n v="3"/>
    <x v="1"/>
    <x v="2"/>
    <n v="4"/>
    <s v="Married"/>
    <n v="3722"/>
    <n v="21081"/>
    <n v="6"/>
    <s v="Y"/>
    <x v="0"/>
    <n v="13"/>
    <n v="3"/>
    <n v="3"/>
    <n v="80"/>
    <n v="1"/>
    <n v="7"/>
    <n v="2"/>
    <n v="1"/>
    <x v="4"/>
    <n v="2"/>
    <n v="2"/>
    <n v="2"/>
  </r>
  <r>
    <n v="45"/>
    <x v="1"/>
    <s v="Travel_Rarely"/>
    <n v="1448"/>
    <x v="1"/>
    <x v="22"/>
    <n v="3"/>
    <s v="Technical Degree"/>
    <n v="1"/>
    <n v="1465"/>
    <n v="2"/>
    <x v="1"/>
    <n v="55"/>
    <n v="3"/>
    <x v="2"/>
    <x v="3"/>
    <n v="4"/>
    <s v="Married"/>
    <n v="9380"/>
    <n v="14720"/>
    <n v="4"/>
    <s v="Y"/>
    <x v="0"/>
    <n v="18"/>
    <n v="3"/>
    <n v="4"/>
    <n v="80"/>
    <n v="2"/>
    <n v="10"/>
    <n v="4"/>
    <n v="4"/>
    <x v="11"/>
    <n v="1"/>
    <n v="1"/>
    <n v="2"/>
  </r>
  <r>
    <n v="48"/>
    <x v="1"/>
    <s v="Travel_Rarely"/>
    <n v="1221"/>
    <x v="0"/>
    <x v="15"/>
    <n v="3"/>
    <s v="Marketing"/>
    <n v="1"/>
    <n v="1466"/>
    <n v="3"/>
    <x v="1"/>
    <n v="96"/>
    <n v="3"/>
    <x v="0"/>
    <x v="0"/>
    <n v="1"/>
    <s v="Divorced"/>
    <n v="5486"/>
    <n v="24795"/>
    <n v="4"/>
    <s v="Y"/>
    <x v="1"/>
    <n v="11"/>
    <n v="3"/>
    <n v="1"/>
    <n v="80"/>
    <n v="3"/>
    <n v="15"/>
    <n v="3"/>
    <n v="3"/>
    <x v="4"/>
    <n v="2"/>
    <n v="2"/>
    <n v="2"/>
  </r>
  <r>
    <n v="34"/>
    <x v="0"/>
    <s v="Travel_Rarely"/>
    <n v="1107"/>
    <x v="2"/>
    <x v="14"/>
    <n v="4"/>
    <s v="Technical Degree"/>
    <n v="1"/>
    <n v="1467"/>
    <n v="1"/>
    <x v="0"/>
    <n v="52"/>
    <n v="3"/>
    <x v="1"/>
    <x v="8"/>
    <n v="3"/>
    <s v="Married"/>
    <n v="2742"/>
    <n v="3072"/>
    <n v="1"/>
    <s v="Y"/>
    <x v="1"/>
    <n v="15"/>
    <n v="3"/>
    <n v="4"/>
    <n v="80"/>
    <n v="0"/>
    <n v="2"/>
    <n v="0"/>
    <n v="3"/>
    <x v="4"/>
    <n v="2"/>
    <n v="2"/>
    <n v="2"/>
  </r>
  <r>
    <n v="40"/>
    <x v="1"/>
    <s v="Non-Travel"/>
    <n v="218"/>
    <x v="1"/>
    <x v="1"/>
    <n v="1"/>
    <s v="Medical"/>
    <n v="1"/>
    <n v="1468"/>
    <n v="4"/>
    <x v="1"/>
    <n v="55"/>
    <n v="2"/>
    <x v="2"/>
    <x v="7"/>
    <n v="2"/>
    <s v="Divorced"/>
    <n v="13757"/>
    <n v="25178"/>
    <n v="2"/>
    <s v="Y"/>
    <x v="1"/>
    <n v="11"/>
    <n v="3"/>
    <n v="3"/>
    <n v="80"/>
    <n v="1"/>
    <n v="16"/>
    <n v="5"/>
    <n v="3"/>
    <x v="7"/>
    <n v="8"/>
    <n v="4"/>
    <n v="8"/>
  </r>
  <r>
    <n v="28"/>
    <x v="1"/>
    <s v="Travel_Rarely"/>
    <n v="866"/>
    <x v="0"/>
    <x v="12"/>
    <n v="3"/>
    <s v="Medical"/>
    <n v="1"/>
    <n v="1469"/>
    <n v="4"/>
    <x v="1"/>
    <n v="84"/>
    <n v="3"/>
    <x v="0"/>
    <x v="0"/>
    <n v="1"/>
    <s v="Single"/>
    <n v="8463"/>
    <n v="23490"/>
    <n v="0"/>
    <s v="Y"/>
    <x v="1"/>
    <n v="18"/>
    <n v="3"/>
    <n v="4"/>
    <n v="80"/>
    <n v="0"/>
    <n v="6"/>
    <n v="4"/>
    <n v="3"/>
    <x v="8"/>
    <n v="4"/>
    <n v="1"/>
    <n v="3"/>
  </r>
  <r>
    <n v="44"/>
    <x v="1"/>
    <s v="Non-Travel"/>
    <n v="981"/>
    <x v="1"/>
    <x v="12"/>
    <n v="3"/>
    <s v="Life Sciences"/>
    <n v="1"/>
    <n v="1471"/>
    <n v="3"/>
    <x v="1"/>
    <n v="90"/>
    <n v="2"/>
    <x v="1"/>
    <x v="2"/>
    <n v="3"/>
    <s v="Single"/>
    <n v="3162"/>
    <n v="7973"/>
    <n v="3"/>
    <s v="Y"/>
    <x v="1"/>
    <n v="14"/>
    <n v="3"/>
    <n v="4"/>
    <n v="80"/>
    <n v="0"/>
    <n v="7"/>
    <n v="5"/>
    <n v="3"/>
    <x v="8"/>
    <n v="2"/>
    <n v="0"/>
    <n v="3"/>
  </r>
  <r>
    <n v="53"/>
    <x v="1"/>
    <s v="Travel_Rarely"/>
    <n v="447"/>
    <x v="1"/>
    <x v="2"/>
    <n v="3"/>
    <s v="Medical"/>
    <n v="1"/>
    <n v="1472"/>
    <n v="4"/>
    <x v="1"/>
    <n v="39"/>
    <n v="4"/>
    <x v="3"/>
    <x v="7"/>
    <n v="2"/>
    <s v="Single"/>
    <n v="16598"/>
    <n v="19764"/>
    <n v="4"/>
    <s v="Y"/>
    <x v="1"/>
    <n v="12"/>
    <n v="3"/>
    <n v="2"/>
    <n v="80"/>
    <n v="0"/>
    <n v="35"/>
    <n v="2"/>
    <n v="2"/>
    <x v="7"/>
    <n v="8"/>
    <n v="8"/>
    <n v="8"/>
  </r>
  <r>
    <n v="49"/>
    <x v="1"/>
    <s v="Travel_Rarely"/>
    <n v="1495"/>
    <x v="1"/>
    <x v="12"/>
    <n v="4"/>
    <s v="Technical Degree"/>
    <n v="1"/>
    <n v="1473"/>
    <n v="1"/>
    <x v="1"/>
    <n v="96"/>
    <n v="3"/>
    <x v="0"/>
    <x v="4"/>
    <n v="3"/>
    <s v="Married"/>
    <n v="6651"/>
    <n v="21534"/>
    <n v="2"/>
    <s v="Y"/>
    <x v="1"/>
    <n v="14"/>
    <n v="3"/>
    <n v="2"/>
    <n v="80"/>
    <n v="1"/>
    <n v="20"/>
    <n v="0"/>
    <n v="2"/>
    <x v="11"/>
    <n v="2"/>
    <n v="1"/>
    <n v="2"/>
  </r>
  <r>
    <n v="40"/>
    <x v="1"/>
    <s v="Travel_Rarely"/>
    <n v="896"/>
    <x v="1"/>
    <x v="2"/>
    <n v="3"/>
    <s v="Medical"/>
    <n v="1"/>
    <n v="1474"/>
    <n v="3"/>
    <x v="1"/>
    <n v="68"/>
    <n v="3"/>
    <x v="1"/>
    <x v="1"/>
    <n v="3"/>
    <s v="Divorced"/>
    <n v="2345"/>
    <n v="8045"/>
    <n v="2"/>
    <s v="Y"/>
    <x v="1"/>
    <n v="14"/>
    <n v="3"/>
    <n v="3"/>
    <n v="80"/>
    <n v="1"/>
    <n v="8"/>
    <n v="3"/>
    <n v="4"/>
    <x v="11"/>
    <n v="1"/>
    <n v="1"/>
    <n v="2"/>
  </r>
  <r>
    <n v="44"/>
    <x v="1"/>
    <s v="Travel_Rarely"/>
    <n v="1467"/>
    <x v="1"/>
    <x v="25"/>
    <n v="3"/>
    <s v="Life Sciences"/>
    <n v="1"/>
    <n v="1475"/>
    <n v="4"/>
    <x v="1"/>
    <n v="49"/>
    <n v="3"/>
    <x v="1"/>
    <x v="1"/>
    <n v="2"/>
    <s v="Single"/>
    <n v="3420"/>
    <n v="21158"/>
    <n v="1"/>
    <s v="Y"/>
    <x v="1"/>
    <n v="13"/>
    <n v="3"/>
    <n v="3"/>
    <n v="80"/>
    <n v="0"/>
    <n v="6"/>
    <n v="3"/>
    <n v="2"/>
    <x v="8"/>
    <n v="2"/>
    <n v="1"/>
    <n v="3"/>
  </r>
  <r>
    <n v="33"/>
    <x v="1"/>
    <s v="Travel_Frequently"/>
    <n v="430"/>
    <x v="0"/>
    <x v="15"/>
    <n v="3"/>
    <s v="Medical"/>
    <n v="1"/>
    <n v="1477"/>
    <n v="4"/>
    <x v="1"/>
    <n v="54"/>
    <n v="3"/>
    <x v="0"/>
    <x v="0"/>
    <n v="1"/>
    <s v="Married"/>
    <n v="4373"/>
    <n v="17456"/>
    <n v="0"/>
    <s v="Y"/>
    <x v="1"/>
    <n v="14"/>
    <n v="3"/>
    <n v="1"/>
    <n v="80"/>
    <n v="2"/>
    <n v="5"/>
    <n v="2"/>
    <n v="3"/>
    <x v="9"/>
    <n v="3"/>
    <n v="0"/>
    <n v="3"/>
  </r>
  <r>
    <n v="34"/>
    <x v="1"/>
    <s v="Travel_Rarely"/>
    <n v="1326"/>
    <x v="0"/>
    <x v="3"/>
    <n v="3"/>
    <s v="Other"/>
    <n v="1"/>
    <n v="1478"/>
    <n v="4"/>
    <x v="1"/>
    <n v="81"/>
    <n v="1"/>
    <x v="0"/>
    <x v="0"/>
    <n v="1"/>
    <s v="Single"/>
    <n v="4759"/>
    <n v="15891"/>
    <n v="3"/>
    <s v="Y"/>
    <x v="1"/>
    <n v="18"/>
    <n v="3"/>
    <n v="4"/>
    <n v="80"/>
    <n v="0"/>
    <n v="15"/>
    <n v="2"/>
    <n v="3"/>
    <x v="20"/>
    <n v="9"/>
    <n v="3"/>
    <n v="12"/>
  </r>
  <r>
    <n v="30"/>
    <x v="1"/>
    <s v="Travel_Rarely"/>
    <n v="1358"/>
    <x v="0"/>
    <x v="7"/>
    <n v="1"/>
    <s v="Life Sciences"/>
    <n v="1"/>
    <n v="1479"/>
    <n v="4"/>
    <x v="1"/>
    <n v="96"/>
    <n v="3"/>
    <x v="0"/>
    <x v="0"/>
    <n v="3"/>
    <s v="Married"/>
    <n v="5301"/>
    <n v="2939"/>
    <n v="8"/>
    <s v="Y"/>
    <x v="1"/>
    <n v="15"/>
    <n v="3"/>
    <n v="3"/>
    <n v="80"/>
    <n v="2"/>
    <n v="4"/>
    <n v="2"/>
    <n v="2"/>
    <x v="4"/>
    <n v="1"/>
    <n v="2"/>
    <n v="2"/>
  </r>
  <r>
    <n v="42"/>
    <x v="1"/>
    <s v="Travel_Frequently"/>
    <n v="748"/>
    <x v="1"/>
    <x v="14"/>
    <n v="2"/>
    <s v="Medical"/>
    <n v="1"/>
    <n v="1480"/>
    <n v="1"/>
    <x v="0"/>
    <n v="74"/>
    <n v="3"/>
    <x v="1"/>
    <x v="2"/>
    <n v="4"/>
    <s v="Single"/>
    <n v="3673"/>
    <n v="16458"/>
    <n v="1"/>
    <s v="Y"/>
    <x v="1"/>
    <n v="13"/>
    <n v="3"/>
    <n v="3"/>
    <n v="80"/>
    <n v="0"/>
    <n v="12"/>
    <n v="3"/>
    <n v="3"/>
    <x v="12"/>
    <n v="9"/>
    <n v="5"/>
    <n v="8"/>
  </r>
  <r>
    <n v="44"/>
    <x v="1"/>
    <s v="Travel_Frequently"/>
    <n v="383"/>
    <x v="0"/>
    <x v="0"/>
    <n v="5"/>
    <s v="Marketing"/>
    <n v="1"/>
    <n v="1481"/>
    <n v="1"/>
    <x v="0"/>
    <n v="79"/>
    <n v="3"/>
    <x v="0"/>
    <x v="0"/>
    <n v="3"/>
    <s v="Married"/>
    <n v="4768"/>
    <n v="9282"/>
    <n v="7"/>
    <s v="Y"/>
    <x v="1"/>
    <n v="12"/>
    <n v="3"/>
    <n v="3"/>
    <n v="80"/>
    <n v="1"/>
    <n v="11"/>
    <n v="4"/>
    <n v="2"/>
    <x v="6"/>
    <n v="0"/>
    <n v="0"/>
    <n v="0"/>
  </r>
  <r>
    <n v="30"/>
    <x v="1"/>
    <s v="Non-Travel"/>
    <n v="990"/>
    <x v="1"/>
    <x v="15"/>
    <n v="3"/>
    <s v="Technical Degree"/>
    <n v="1"/>
    <n v="1482"/>
    <n v="3"/>
    <x v="1"/>
    <n v="64"/>
    <n v="3"/>
    <x v="1"/>
    <x v="1"/>
    <n v="3"/>
    <s v="Divorced"/>
    <n v="1274"/>
    <n v="7152"/>
    <n v="1"/>
    <s v="Y"/>
    <x v="1"/>
    <n v="13"/>
    <n v="3"/>
    <n v="2"/>
    <n v="80"/>
    <n v="2"/>
    <n v="1"/>
    <n v="2"/>
    <n v="2"/>
    <x v="6"/>
    <n v="0"/>
    <n v="0"/>
    <n v="0"/>
  </r>
  <r>
    <n v="57"/>
    <x v="1"/>
    <s v="Travel_Rarely"/>
    <n v="405"/>
    <x v="1"/>
    <x v="0"/>
    <n v="2"/>
    <s v="Life Sciences"/>
    <n v="1"/>
    <n v="1483"/>
    <n v="2"/>
    <x v="1"/>
    <n v="93"/>
    <n v="4"/>
    <x v="0"/>
    <x v="1"/>
    <n v="3"/>
    <s v="Married"/>
    <n v="4900"/>
    <n v="2721"/>
    <n v="0"/>
    <s v="Y"/>
    <x v="1"/>
    <n v="24"/>
    <n v="4"/>
    <n v="1"/>
    <n v="80"/>
    <n v="1"/>
    <n v="13"/>
    <n v="2"/>
    <n v="2"/>
    <x v="12"/>
    <n v="9"/>
    <n v="2"/>
    <n v="8"/>
  </r>
  <r>
    <n v="49"/>
    <x v="1"/>
    <s v="Travel_Rarely"/>
    <n v="1490"/>
    <x v="1"/>
    <x v="15"/>
    <n v="4"/>
    <s v="Life Sciences"/>
    <n v="1"/>
    <n v="1484"/>
    <n v="3"/>
    <x v="1"/>
    <n v="35"/>
    <n v="3"/>
    <x v="2"/>
    <x v="4"/>
    <n v="2"/>
    <s v="Divorced"/>
    <n v="10466"/>
    <n v="20948"/>
    <n v="3"/>
    <s v="Y"/>
    <x v="1"/>
    <n v="14"/>
    <n v="3"/>
    <n v="2"/>
    <n v="80"/>
    <n v="2"/>
    <n v="29"/>
    <n v="3"/>
    <n v="3"/>
    <x v="3"/>
    <n v="7"/>
    <n v="0"/>
    <n v="7"/>
  </r>
  <r>
    <n v="34"/>
    <x v="1"/>
    <s v="Travel_Frequently"/>
    <n v="829"/>
    <x v="1"/>
    <x v="8"/>
    <n v="3"/>
    <s v="Medical"/>
    <n v="1"/>
    <n v="1485"/>
    <n v="2"/>
    <x v="1"/>
    <n v="71"/>
    <n v="3"/>
    <x v="3"/>
    <x v="7"/>
    <n v="1"/>
    <s v="Divorced"/>
    <n v="17007"/>
    <n v="11929"/>
    <n v="7"/>
    <s v="Y"/>
    <x v="1"/>
    <n v="14"/>
    <n v="3"/>
    <n v="4"/>
    <n v="80"/>
    <n v="2"/>
    <n v="16"/>
    <n v="3"/>
    <n v="2"/>
    <x v="13"/>
    <n v="8"/>
    <n v="6"/>
    <n v="9"/>
  </r>
  <r>
    <n v="28"/>
    <x v="0"/>
    <s v="Travel_Frequently"/>
    <n v="1496"/>
    <x v="0"/>
    <x v="0"/>
    <n v="3"/>
    <s v="Technical Degree"/>
    <n v="1"/>
    <n v="1486"/>
    <n v="1"/>
    <x v="1"/>
    <n v="92"/>
    <n v="3"/>
    <x v="1"/>
    <x v="6"/>
    <n v="3"/>
    <s v="Married"/>
    <n v="2909"/>
    <n v="15747"/>
    <n v="3"/>
    <s v="Y"/>
    <x v="1"/>
    <n v="15"/>
    <n v="3"/>
    <n v="4"/>
    <n v="80"/>
    <n v="1"/>
    <n v="5"/>
    <n v="3"/>
    <n v="4"/>
    <x v="11"/>
    <n v="2"/>
    <n v="1"/>
    <n v="2"/>
  </r>
  <r>
    <n v="29"/>
    <x v="0"/>
    <s v="Travel_Frequently"/>
    <n v="115"/>
    <x v="0"/>
    <x v="28"/>
    <n v="3"/>
    <s v="Technical Degree"/>
    <n v="1"/>
    <n v="1487"/>
    <n v="1"/>
    <x v="0"/>
    <n v="51"/>
    <n v="3"/>
    <x v="0"/>
    <x v="0"/>
    <n v="2"/>
    <s v="Single"/>
    <n v="5765"/>
    <n v="17485"/>
    <n v="5"/>
    <s v="Y"/>
    <x v="1"/>
    <n v="11"/>
    <n v="3"/>
    <n v="1"/>
    <n v="80"/>
    <n v="0"/>
    <n v="7"/>
    <n v="4"/>
    <n v="1"/>
    <x v="8"/>
    <n v="3"/>
    <n v="0"/>
    <n v="0"/>
  </r>
  <r>
    <n v="34"/>
    <x v="0"/>
    <s v="Travel_Rarely"/>
    <n v="790"/>
    <x v="0"/>
    <x v="4"/>
    <n v="4"/>
    <s v="Medical"/>
    <n v="1"/>
    <n v="1489"/>
    <n v="1"/>
    <x v="0"/>
    <n v="40"/>
    <n v="2"/>
    <x v="0"/>
    <x v="0"/>
    <n v="2"/>
    <s v="Single"/>
    <n v="4599"/>
    <n v="7815"/>
    <n v="0"/>
    <s v="Y"/>
    <x v="0"/>
    <n v="23"/>
    <n v="4"/>
    <n v="3"/>
    <n v="80"/>
    <n v="0"/>
    <n v="16"/>
    <n v="2"/>
    <n v="4"/>
    <x v="15"/>
    <n v="9"/>
    <n v="10"/>
    <n v="10"/>
  </r>
  <r>
    <n v="35"/>
    <x v="1"/>
    <s v="Travel_Rarely"/>
    <n v="660"/>
    <x v="0"/>
    <x v="15"/>
    <n v="1"/>
    <s v="Life Sciences"/>
    <n v="1"/>
    <n v="1492"/>
    <n v="4"/>
    <x v="1"/>
    <n v="76"/>
    <n v="3"/>
    <x v="1"/>
    <x v="6"/>
    <n v="3"/>
    <s v="Married"/>
    <n v="2404"/>
    <n v="16192"/>
    <n v="1"/>
    <s v="Y"/>
    <x v="1"/>
    <n v="13"/>
    <n v="3"/>
    <n v="1"/>
    <n v="80"/>
    <n v="1"/>
    <n v="1"/>
    <n v="3"/>
    <n v="3"/>
    <x v="6"/>
    <n v="0"/>
    <n v="0"/>
    <n v="0"/>
  </r>
  <r>
    <n v="24"/>
    <x v="0"/>
    <s v="Travel_Frequently"/>
    <n v="381"/>
    <x v="1"/>
    <x v="14"/>
    <n v="3"/>
    <s v="Medical"/>
    <n v="1"/>
    <n v="1494"/>
    <n v="2"/>
    <x v="1"/>
    <n v="89"/>
    <n v="3"/>
    <x v="1"/>
    <x v="2"/>
    <n v="1"/>
    <s v="Single"/>
    <n v="3172"/>
    <n v="16998"/>
    <n v="2"/>
    <s v="Y"/>
    <x v="0"/>
    <n v="11"/>
    <n v="3"/>
    <n v="3"/>
    <n v="80"/>
    <n v="0"/>
    <n v="4"/>
    <n v="2"/>
    <n v="2"/>
    <x v="2"/>
    <n v="0"/>
    <n v="0"/>
    <n v="0"/>
  </r>
  <r>
    <n v="24"/>
    <x v="1"/>
    <s v="Non-Travel"/>
    <n v="830"/>
    <x v="0"/>
    <x v="28"/>
    <n v="2"/>
    <s v="Life Sciences"/>
    <n v="1"/>
    <n v="1495"/>
    <n v="4"/>
    <x v="0"/>
    <n v="78"/>
    <n v="3"/>
    <x v="1"/>
    <x v="6"/>
    <n v="2"/>
    <s v="Married"/>
    <n v="2033"/>
    <n v="7103"/>
    <n v="1"/>
    <s v="Y"/>
    <x v="1"/>
    <n v="13"/>
    <n v="3"/>
    <n v="3"/>
    <n v="80"/>
    <n v="1"/>
    <n v="1"/>
    <n v="2"/>
    <n v="3"/>
    <x v="6"/>
    <n v="0"/>
    <n v="0"/>
    <n v="0"/>
  </r>
  <r>
    <n v="44"/>
    <x v="1"/>
    <s v="Travel_Frequently"/>
    <n v="1193"/>
    <x v="1"/>
    <x v="2"/>
    <n v="1"/>
    <s v="Medical"/>
    <n v="1"/>
    <n v="1496"/>
    <n v="2"/>
    <x v="1"/>
    <n v="86"/>
    <n v="3"/>
    <x v="2"/>
    <x v="3"/>
    <n v="3"/>
    <s v="Single"/>
    <n v="10209"/>
    <n v="19719"/>
    <n v="5"/>
    <s v="Y"/>
    <x v="0"/>
    <n v="18"/>
    <n v="3"/>
    <n v="2"/>
    <n v="80"/>
    <n v="0"/>
    <n v="16"/>
    <n v="2"/>
    <n v="2"/>
    <x v="4"/>
    <n v="2"/>
    <n v="2"/>
    <n v="2"/>
  </r>
  <r>
    <n v="29"/>
    <x v="1"/>
    <s v="Travel_Rarely"/>
    <n v="1246"/>
    <x v="0"/>
    <x v="10"/>
    <n v="3"/>
    <s v="Life Sciences"/>
    <n v="1"/>
    <n v="1497"/>
    <n v="3"/>
    <x v="1"/>
    <n v="77"/>
    <n v="2"/>
    <x v="0"/>
    <x v="0"/>
    <n v="3"/>
    <s v="Divorced"/>
    <n v="8620"/>
    <n v="23757"/>
    <n v="1"/>
    <s v="Y"/>
    <x v="1"/>
    <n v="14"/>
    <n v="3"/>
    <n v="3"/>
    <n v="80"/>
    <n v="2"/>
    <n v="10"/>
    <n v="3"/>
    <n v="3"/>
    <x v="1"/>
    <n v="7"/>
    <n v="0"/>
    <n v="4"/>
  </r>
  <r>
    <n v="30"/>
    <x v="1"/>
    <s v="Travel_Rarely"/>
    <n v="330"/>
    <x v="2"/>
    <x v="0"/>
    <n v="3"/>
    <s v="Life Sciences"/>
    <n v="1"/>
    <n v="1499"/>
    <n v="3"/>
    <x v="1"/>
    <n v="46"/>
    <n v="3"/>
    <x v="1"/>
    <x v="8"/>
    <n v="3"/>
    <s v="Divorced"/>
    <n v="2064"/>
    <n v="15428"/>
    <n v="0"/>
    <s v="Y"/>
    <x v="1"/>
    <n v="21"/>
    <n v="4"/>
    <n v="1"/>
    <n v="80"/>
    <n v="1"/>
    <n v="6"/>
    <n v="3"/>
    <n v="4"/>
    <x v="8"/>
    <n v="3"/>
    <n v="1"/>
    <n v="3"/>
  </r>
  <r>
    <n v="55"/>
    <x v="1"/>
    <s v="Travel_Rarely"/>
    <n v="1229"/>
    <x v="1"/>
    <x v="18"/>
    <n v="4"/>
    <s v="Life Sciences"/>
    <n v="1"/>
    <n v="1501"/>
    <n v="4"/>
    <x v="1"/>
    <n v="30"/>
    <n v="3"/>
    <x v="0"/>
    <x v="4"/>
    <n v="3"/>
    <s v="Married"/>
    <n v="4035"/>
    <n v="16143"/>
    <n v="0"/>
    <s v="Y"/>
    <x v="0"/>
    <n v="16"/>
    <n v="3"/>
    <n v="2"/>
    <n v="80"/>
    <n v="0"/>
    <n v="4"/>
    <n v="2"/>
    <n v="3"/>
    <x v="11"/>
    <n v="2"/>
    <n v="1"/>
    <n v="2"/>
  </r>
  <r>
    <n v="33"/>
    <x v="1"/>
    <s v="Travel_Rarely"/>
    <n v="1099"/>
    <x v="1"/>
    <x v="18"/>
    <n v="4"/>
    <s v="Medical"/>
    <n v="1"/>
    <n v="1502"/>
    <n v="1"/>
    <x v="0"/>
    <n v="82"/>
    <n v="2"/>
    <x v="1"/>
    <x v="2"/>
    <n v="2"/>
    <s v="Married"/>
    <n v="3838"/>
    <n v="8192"/>
    <n v="8"/>
    <s v="Y"/>
    <x v="1"/>
    <n v="11"/>
    <n v="3"/>
    <n v="4"/>
    <n v="80"/>
    <n v="0"/>
    <n v="8"/>
    <n v="5"/>
    <n v="3"/>
    <x v="8"/>
    <n v="4"/>
    <n v="0"/>
    <n v="2"/>
  </r>
  <r>
    <n v="47"/>
    <x v="1"/>
    <s v="Travel_Rarely"/>
    <n v="571"/>
    <x v="0"/>
    <x v="24"/>
    <n v="3"/>
    <s v="Medical"/>
    <n v="1"/>
    <n v="1503"/>
    <n v="3"/>
    <x v="0"/>
    <n v="78"/>
    <n v="3"/>
    <x v="0"/>
    <x v="0"/>
    <n v="3"/>
    <s v="Married"/>
    <n v="4591"/>
    <n v="24200"/>
    <n v="3"/>
    <s v="Y"/>
    <x v="0"/>
    <n v="17"/>
    <n v="3"/>
    <n v="3"/>
    <n v="80"/>
    <n v="1"/>
    <n v="11"/>
    <n v="4"/>
    <n v="2"/>
    <x v="8"/>
    <n v="4"/>
    <n v="1"/>
    <n v="2"/>
  </r>
  <r>
    <n v="28"/>
    <x v="0"/>
    <s v="Travel_Frequently"/>
    <n v="289"/>
    <x v="1"/>
    <x v="2"/>
    <n v="2"/>
    <s v="Medical"/>
    <n v="1"/>
    <n v="1504"/>
    <n v="3"/>
    <x v="1"/>
    <n v="38"/>
    <n v="2"/>
    <x v="1"/>
    <x v="2"/>
    <n v="1"/>
    <s v="Single"/>
    <n v="2561"/>
    <n v="5355"/>
    <n v="7"/>
    <s v="Y"/>
    <x v="1"/>
    <n v="11"/>
    <n v="3"/>
    <n v="3"/>
    <n v="80"/>
    <n v="0"/>
    <n v="8"/>
    <n v="2"/>
    <n v="2"/>
    <x v="2"/>
    <n v="0"/>
    <n v="0"/>
    <n v="0"/>
  </r>
  <r>
    <n v="28"/>
    <x v="1"/>
    <s v="Travel_Rarely"/>
    <n v="1423"/>
    <x v="1"/>
    <x v="0"/>
    <n v="3"/>
    <s v="Life Sciences"/>
    <n v="1"/>
    <n v="1506"/>
    <n v="1"/>
    <x v="1"/>
    <n v="72"/>
    <n v="2"/>
    <x v="1"/>
    <x v="1"/>
    <n v="3"/>
    <s v="Divorced"/>
    <n v="1563"/>
    <n v="12530"/>
    <n v="1"/>
    <s v="Y"/>
    <x v="1"/>
    <n v="14"/>
    <n v="3"/>
    <n v="4"/>
    <n v="80"/>
    <n v="1"/>
    <n v="1"/>
    <n v="2"/>
    <n v="1"/>
    <x v="6"/>
    <n v="0"/>
    <n v="0"/>
    <n v="0"/>
  </r>
  <r>
    <n v="28"/>
    <x v="1"/>
    <s v="Travel_Frequently"/>
    <n v="467"/>
    <x v="0"/>
    <x v="15"/>
    <n v="3"/>
    <s v="Life Sciences"/>
    <n v="1"/>
    <n v="1507"/>
    <n v="3"/>
    <x v="1"/>
    <n v="55"/>
    <n v="3"/>
    <x v="0"/>
    <x v="0"/>
    <n v="1"/>
    <s v="Single"/>
    <n v="4898"/>
    <n v="11827"/>
    <n v="0"/>
    <s v="Y"/>
    <x v="1"/>
    <n v="14"/>
    <n v="3"/>
    <n v="4"/>
    <n v="80"/>
    <n v="0"/>
    <n v="5"/>
    <n v="5"/>
    <n v="3"/>
    <x v="9"/>
    <n v="2"/>
    <n v="1"/>
    <n v="3"/>
  </r>
  <r>
    <n v="49"/>
    <x v="1"/>
    <s v="Travel_Rarely"/>
    <n v="271"/>
    <x v="1"/>
    <x v="3"/>
    <n v="2"/>
    <s v="Medical"/>
    <n v="1"/>
    <n v="1509"/>
    <n v="3"/>
    <x v="0"/>
    <n v="43"/>
    <n v="2"/>
    <x v="0"/>
    <x v="2"/>
    <n v="1"/>
    <s v="Married"/>
    <n v="4789"/>
    <n v="23070"/>
    <n v="4"/>
    <s v="Y"/>
    <x v="1"/>
    <n v="25"/>
    <n v="4"/>
    <n v="1"/>
    <n v="80"/>
    <n v="1"/>
    <n v="10"/>
    <n v="3"/>
    <n v="3"/>
    <x v="11"/>
    <n v="2"/>
    <n v="1"/>
    <n v="2"/>
  </r>
  <r>
    <n v="29"/>
    <x v="1"/>
    <s v="Travel_Frequently"/>
    <n v="410"/>
    <x v="1"/>
    <x v="2"/>
    <n v="1"/>
    <s v="Life Sciences"/>
    <n v="1"/>
    <n v="1513"/>
    <n v="4"/>
    <x v="0"/>
    <n v="97"/>
    <n v="3"/>
    <x v="1"/>
    <x v="2"/>
    <n v="2"/>
    <s v="Married"/>
    <n v="3180"/>
    <n v="4668"/>
    <n v="0"/>
    <s v="Y"/>
    <x v="1"/>
    <n v="13"/>
    <n v="3"/>
    <n v="3"/>
    <n v="80"/>
    <n v="3"/>
    <n v="4"/>
    <n v="3"/>
    <n v="3"/>
    <x v="11"/>
    <n v="2"/>
    <n v="0"/>
    <n v="2"/>
  </r>
  <r>
    <n v="28"/>
    <x v="1"/>
    <s v="Travel_Rarely"/>
    <n v="1083"/>
    <x v="1"/>
    <x v="22"/>
    <n v="1"/>
    <s v="Life Sciences"/>
    <n v="1"/>
    <n v="1514"/>
    <n v="3"/>
    <x v="1"/>
    <n v="96"/>
    <n v="1"/>
    <x v="0"/>
    <x v="3"/>
    <n v="2"/>
    <s v="Married"/>
    <n v="6549"/>
    <n v="3173"/>
    <n v="1"/>
    <s v="Y"/>
    <x v="1"/>
    <n v="14"/>
    <n v="3"/>
    <n v="2"/>
    <n v="80"/>
    <n v="2"/>
    <n v="8"/>
    <n v="2"/>
    <n v="2"/>
    <x v="3"/>
    <n v="6"/>
    <n v="1"/>
    <n v="7"/>
  </r>
  <r>
    <n v="33"/>
    <x v="1"/>
    <s v="Travel_Rarely"/>
    <n v="516"/>
    <x v="1"/>
    <x v="1"/>
    <n v="5"/>
    <s v="Life Sciences"/>
    <n v="1"/>
    <n v="1515"/>
    <n v="4"/>
    <x v="1"/>
    <n v="69"/>
    <n v="3"/>
    <x v="0"/>
    <x v="4"/>
    <n v="3"/>
    <s v="Single"/>
    <n v="6388"/>
    <n v="22049"/>
    <n v="2"/>
    <s v="Y"/>
    <x v="0"/>
    <n v="17"/>
    <n v="3"/>
    <n v="1"/>
    <n v="80"/>
    <n v="0"/>
    <n v="14"/>
    <n v="6"/>
    <n v="3"/>
    <x v="2"/>
    <n v="0"/>
    <n v="0"/>
    <n v="0"/>
  </r>
  <r>
    <n v="32"/>
    <x v="1"/>
    <s v="Travel_Rarely"/>
    <n v="495"/>
    <x v="1"/>
    <x v="17"/>
    <n v="3"/>
    <s v="Medical"/>
    <n v="1"/>
    <n v="1516"/>
    <n v="3"/>
    <x v="1"/>
    <n v="64"/>
    <n v="3"/>
    <x v="2"/>
    <x v="5"/>
    <n v="4"/>
    <s v="Single"/>
    <n v="11244"/>
    <n v="21072"/>
    <n v="2"/>
    <s v="Y"/>
    <x v="1"/>
    <n v="25"/>
    <n v="4"/>
    <n v="2"/>
    <n v="80"/>
    <n v="0"/>
    <n v="10"/>
    <n v="5"/>
    <n v="4"/>
    <x v="8"/>
    <n v="2"/>
    <n v="0"/>
    <n v="0"/>
  </r>
  <r>
    <n v="54"/>
    <x v="1"/>
    <s v="Travel_Frequently"/>
    <n v="1050"/>
    <x v="1"/>
    <x v="13"/>
    <n v="4"/>
    <s v="Medical"/>
    <n v="1"/>
    <n v="1520"/>
    <n v="2"/>
    <x v="0"/>
    <n v="87"/>
    <n v="3"/>
    <x v="3"/>
    <x v="5"/>
    <n v="4"/>
    <s v="Divorced"/>
    <n v="16032"/>
    <n v="24456"/>
    <n v="3"/>
    <s v="Y"/>
    <x v="1"/>
    <n v="20"/>
    <n v="4"/>
    <n v="1"/>
    <n v="80"/>
    <n v="1"/>
    <n v="26"/>
    <n v="2"/>
    <n v="3"/>
    <x v="13"/>
    <n v="9"/>
    <n v="1"/>
    <n v="12"/>
  </r>
  <r>
    <n v="29"/>
    <x v="0"/>
    <s v="Travel_Rarely"/>
    <n v="224"/>
    <x v="1"/>
    <x v="0"/>
    <n v="4"/>
    <s v="Technical Degree"/>
    <n v="1"/>
    <n v="1522"/>
    <n v="1"/>
    <x v="1"/>
    <n v="100"/>
    <n v="2"/>
    <x v="1"/>
    <x v="1"/>
    <n v="1"/>
    <s v="Single"/>
    <n v="2362"/>
    <n v="7568"/>
    <n v="6"/>
    <s v="Y"/>
    <x v="1"/>
    <n v="13"/>
    <n v="3"/>
    <n v="3"/>
    <n v="80"/>
    <n v="0"/>
    <n v="11"/>
    <n v="2"/>
    <n v="1"/>
    <x v="7"/>
    <n v="7"/>
    <n v="0"/>
    <n v="7"/>
  </r>
  <r>
    <n v="44"/>
    <x v="1"/>
    <s v="Travel_Rarely"/>
    <n v="136"/>
    <x v="1"/>
    <x v="26"/>
    <n v="3"/>
    <s v="Life Sciences"/>
    <n v="1"/>
    <n v="1523"/>
    <n v="4"/>
    <x v="1"/>
    <n v="32"/>
    <n v="3"/>
    <x v="3"/>
    <x v="7"/>
    <n v="1"/>
    <s v="Married"/>
    <n v="16328"/>
    <n v="22074"/>
    <n v="3"/>
    <s v="Y"/>
    <x v="1"/>
    <n v="13"/>
    <n v="3"/>
    <n v="3"/>
    <n v="80"/>
    <n v="1"/>
    <n v="24"/>
    <n v="1"/>
    <n v="4"/>
    <x v="23"/>
    <n v="6"/>
    <n v="14"/>
    <n v="17"/>
  </r>
  <r>
    <n v="39"/>
    <x v="1"/>
    <s v="Travel_Rarely"/>
    <n v="1089"/>
    <x v="1"/>
    <x v="16"/>
    <n v="3"/>
    <s v="Life Sciences"/>
    <n v="1"/>
    <n v="1525"/>
    <n v="2"/>
    <x v="0"/>
    <n v="32"/>
    <n v="3"/>
    <x v="2"/>
    <x v="3"/>
    <n v="2"/>
    <s v="Single"/>
    <n v="8376"/>
    <n v="9150"/>
    <n v="4"/>
    <s v="Y"/>
    <x v="1"/>
    <n v="18"/>
    <n v="3"/>
    <n v="4"/>
    <n v="80"/>
    <n v="0"/>
    <n v="9"/>
    <n v="3"/>
    <n v="3"/>
    <x v="4"/>
    <n v="0"/>
    <n v="2"/>
    <n v="2"/>
  </r>
  <r>
    <n v="46"/>
    <x v="1"/>
    <s v="Travel_Rarely"/>
    <n v="228"/>
    <x v="0"/>
    <x v="3"/>
    <n v="3"/>
    <s v="Life Sciences"/>
    <n v="1"/>
    <n v="1527"/>
    <n v="3"/>
    <x v="0"/>
    <n v="51"/>
    <n v="3"/>
    <x v="3"/>
    <x v="5"/>
    <n v="2"/>
    <s v="Married"/>
    <n v="16606"/>
    <n v="11380"/>
    <n v="8"/>
    <s v="Y"/>
    <x v="1"/>
    <n v="12"/>
    <n v="3"/>
    <n v="4"/>
    <n v="80"/>
    <n v="1"/>
    <n v="23"/>
    <n v="2"/>
    <n v="4"/>
    <x v="20"/>
    <n v="12"/>
    <n v="5"/>
    <n v="1"/>
  </r>
  <r>
    <n v="35"/>
    <x v="1"/>
    <s v="Travel_Rarely"/>
    <n v="1029"/>
    <x v="1"/>
    <x v="7"/>
    <n v="3"/>
    <s v="Life Sciences"/>
    <n v="1"/>
    <n v="1529"/>
    <n v="4"/>
    <x v="0"/>
    <n v="91"/>
    <n v="2"/>
    <x v="2"/>
    <x v="4"/>
    <n v="2"/>
    <s v="Single"/>
    <n v="8606"/>
    <n v="21195"/>
    <n v="1"/>
    <s v="Y"/>
    <x v="1"/>
    <n v="19"/>
    <n v="3"/>
    <n v="4"/>
    <n v="80"/>
    <n v="0"/>
    <n v="11"/>
    <n v="3"/>
    <n v="1"/>
    <x v="19"/>
    <n v="8"/>
    <n v="3"/>
    <n v="3"/>
  </r>
  <r>
    <n v="23"/>
    <x v="1"/>
    <s v="Travel_Rarely"/>
    <n v="507"/>
    <x v="1"/>
    <x v="25"/>
    <n v="1"/>
    <s v="Life Sciences"/>
    <n v="1"/>
    <n v="1533"/>
    <n v="1"/>
    <x v="1"/>
    <n v="97"/>
    <n v="3"/>
    <x v="0"/>
    <x v="2"/>
    <n v="3"/>
    <s v="Single"/>
    <n v="2272"/>
    <n v="24812"/>
    <n v="0"/>
    <s v="Y"/>
    <x v="1"/>
    <n v="14"/>
    <n v="3"/>
    <n v="2"/>
    <n v="80"/>
    <n v="0"/>
    <n v="5"/>
    <n v="2"/>
    <n v="3"/>
    <x v="9"/>
    <n v="3"/>
    <n v="1"/>
    <n v="2"/>
  </r>
  <r>
    <n v="40"/>
    <x v="0"/>
    <s v="Travel_Rarely"/>
    <n v="676"/>
    <x v="1"/>
    <x v="14"/>
    <n v="4"/>
    <s v="Life Sciences"/>
    <n v="1"/>
    <n v="1534"/>
    <n v="4"/>
    <x v="1"/>
    <n v="86"/>
    <n v="3"/>
    <x v="1"/>
    <x v="2"/>
    <n v="1"/>
    <s v="Single"/>
    <n v="2018"/>
    <n v="21831"/>
    <n v="3"/>
    <s v="Y"/>
    <x v="1"/>
    <n v="14"/>
    <n v="3"/>
    <n v="2"/>
    <n v="80"/>
    <n v="0"/>
    <n v="15"/>
    <n v="3"/>
    <n v="1"/>
    <x v="8"/>
    <n v="4"/>
    <n v="1"/>
    <n v="0"/>
  </r>
  <r>
    <n v="34"/>
    <x v="1"/>
    <s v="Travel_Rarely"/>
    <n v="971"/>
    <x v="0"/>
    <x v="0"/>
    <n v="3"/>
    <s v="Technical Degree"/>
    <n v="1"/>
    <n v="1535"/>
    <n v="4"/>
    <x v="1"/>
    <n v="64"/>
    <n v="2"/>
    <x v="2"/>
    <x v="0"/>
    <n v="3"/>
    <s v="Married"/>
    <n v="7083"/>
    <n v="12288"/>
    <n v="1"/>
    <s v="Y"/>
    <x v="0"/>
    <n v="14"/>
    <n v="3"/>
    <n v="4"/>
    <n v="80"/>
    <n v="0"/>
    <n v="10"/>
    <n v="3"/>
    <n v="3"/>
    <x v="1"/>
    <n v="9"/>
    <n v="8"/>
    <n v="6"/>
  </r>
  <r>
    <n v="31"/>
    <x v="0"/>
    <s v="Travel_Frequently"/>
    <n v="561"/>
    <x v="1"/>
    <x v="3"/>
    <n v="3"/>
    <s v="Life Sciences"/>
    <n v="1"/>
    <n v="1537"/>
    <n v="4"/>
    <x v="0"/>
    <n v="33"/>
    <n v="3"/>
    <x v="1"/>
    <x v="1"/>
    <n v="3"/>
    <s v="Single"/>
    <n v="4084"/>
    <n v="4156"/>
    <n v="1"/>
    <s v="Y"/>
    <x v="1"/>
    <n v="12"/>
    <n v="3"/>
    <n v="1"/>
    <n v="80"/>
    <n v="0"/>
    <n v="7"/>
    <n v="2"/>
    <n v="1"/>
    <x v="5"/>
    <n v="2"/>
    <n v="7"/>
    <n v="7"/>
  </r>
  <r>
    <n v="50"/>
    <x v="1"/>
    <s v="Travel_Frequently"/>
    <n v="333"/>
    <x v="1"/>
    <x v="23"/>
    <n v="5"/>
    <s v="Medical"/>
    <n v="1"/>
    <n v="1539"/>
    <n v="3"/>
    <x v="1"/>
    <n v="88"/>
    <n v="1"/>
    <x v="3"/>
    <x v="7"/>
    <n v="4"/>
    <s v="Single"/>
    <n v="14411"/>
    <n v="24450"/>
    <n v="1"/>
    <s v="Y"/>
    <x v="0"/>
    <n v="13"/>
    <n v="3"/>
    <n v="4"/>
    <n v="80"/>
    <n v="0"/>
    <n v="32"/>
    <n v="2"/>
    <n v="3"/>
    <x v="32"/>
    <n v="6"/>
    <n v="13"/>
    <n v="9"/>
  </r>
  <r>
    <n v="34"/>
    <x v="1"/>
    <s v="Travel_Rarely"/>
    <n v="1440"/>
    <x v="0"/>
    <x v="15"/>
    <n v="2"/>
    <s v="Technical Degree"/>
    <n v="1"/>
    <n v="1541"/>
    <n v="2"/>
    <x v="1"/>
    <n v="55"/>
    <n v="3"/>
    <x v="1"/>
    <x v="6"/>
    <n v="3"/>
    <s v="Married"/>
    <n v="2308"/>
    <n v="4944"/>
    <n v="0"/>
    <s v="Y"/>
    <x v="0"/>
    <n v="25"/>
    <n v="4"/>
    <n v="2"/>
    <n v="80"/>
    <n v="1"/>
    <n v="12"/>
    <n v="4"/>
    <n v="3"/>
    <x v="19"/>
    <n v="10"/>
    <n v="5"/>
    <n v="7"/>
  </r>
  <r>
    <n v="42"/>
    <x v="1"/>
    <s v="Travel_Rarely"/>
    <n v="1210"/>
    <x v="1"/>
    <x v="2"/>
    <n v="3"/>
    <s v="Medical"/>
    <n v="1"/>
    <n v="1542"/>
    <n v="3"/>
    <x v="1"/>
    <n v="68"/>
    <n v="2"/>
    <x v="1"/>
    <x v="2"/>
    <n v="2"/>
    <s v="Married"/>
    <n v="4841"/>
    <n v="24052"/>
    <n v="4"/>
    <s v="Y"/>
    <x v="1"/>
    <n v="14"/>
    <n v="3"/>
    <n v="2"/>
    <n v="80"/>
    <n v="1"/>
    <n v="4"/>
    <n v="3"/>
    <n v="3"/>
    <x v="6"/>
    <n v="0"/>
    <n v="0"/>
    <n v="0"/>
  </r>
  <r>
    <n v="37"/>
    <x v="1"/>
    <s v="Travel_Rarely"/>
    <n v="674"/>
    <x v="1"/>
    <x v="28"/>
    <n v="3"/>
    <s v="Medical"/>
    <n v="1"/>
    <n v="1543"/>
    <n v="1"/>
    <x v="1"/>
    <n v="47"/>
    <n v="3"/>
    <x v="0"/>
    <x v="1"/>
    <n v="4"/>
    <s v="Married"/>
    <n v="4285"/>
    <n v="3031"/>
    <n v="1"/>
    <s v="Y"/>
    <x v="1"/>
    <n v="17"/>
    <n v="3"/>
    <n v="1"/>
    <n v="80"/>
    <n v="0"/>
    <n v="10"/>
    <n v="2"/>
    <n v="3"/>
    <x v="1"/>
    <n v="8"/>
    <n v="3"/>
    <n v="7"/>
  </r>
  <r>
    <n v="29"/>
    <x v="1"/>
    <s v="Travel_Rarely"/>
    <n v="441"/>
    <x v="1"/>
    <x v="1"/>
    <n v="1"/>
    <s v="Other"/>
    <n v="1"/>
    <n v="1544"/>
    <n v="3"/>
    <x v="0"/>
    <n v="39"/>
    <n v="1"/>
    <x v="0"/>
    <x v="4"/>
    <n v="1"/>
    <s v="Married"/>
    <n v="9715"/>
    <n v="7288"/>
    <n v="3"/>
    <s v="Y"/>
    <x v="1"/>
    <n v="13"/>
    <n v="3"/>
    <n v="3"/>
    <n v="80"/>
    <n v="1"/>
    <n v="9"/>
    <n v="3"/>
    <n v="3"/>
    <x v="5"/>
    <n v="7"/>
    <n v="0"/>
    <n v="7"/>
  </r>
  <r>
    <n v="33"/>
    <x v="1"/>
    <s v="Travel_Rarely"/>
    <n v="575"/>
    <x v="1"/>
    <x v="19"/>
    <n v="3"/>
    <s v="Life Sciences"/>
    <n v="1"/>
    <n v="1545"/>
    <n v="4"/>
    <x v="1"/>
    <n v="44"/>
    <n v="2"/>
    <x v="0"/>
    <x v="3"/>
    <n v="2"/>
    <s v="Single"/>
    <n v="4320"/>
    <n v="24152"/>
    <n v="1"/>
    <s v="Y"/>
    <x v="1"/>
    <n v="13"/>
    <n v="3"/>
    <n v="4"/>
    <n v="80"/>
    <n v="0"/>
    <n v="5"/>
    <n v="2"/>
    <n v="3"/>
    <x v="8"/>
    <n v="3"/>
    <n v="0"/>
    <n v="2"/>
  </r>
  <r>
    <n v="45"/>
    <x v="1"/>
    <s v="Travel_Rarely"/>
    <n v="950"/>
    <x v="1"/>
    <x v="26"/>
    <n v="3"/>
    <s v="Technical Degree"/>
    <n v="1"/>
    <n v="1546"/>
    <n v="4"/>
    <x v="1"/>
    <n v="97"/>
    <n v="3"/>
    <x v="1"/>
    <x v="1"/>
    <n v="4"/>
    <s v="Married"/>
    <n v="2132"/>
    <n v="4585"/>
    <n v="4"/>
    <s v="Y"/>
    <x v="1"/>
    <n v="20"/>
    <n v="4"/>
    <n v="4"/>
    <n v="80"/>
    <n v="1"/>
    <n v="8"/>
    <n v="3"/>
    <n v="3"/>
    <x v="8"/>
    <n v="4"/>
    <n v="0"/>
    <n v="3"/>
  </r>
  <r>
    <n v="42"/>
    <x v="1"/>
    <s v="Travel_Frequently"/>
    <n v="288"/>
    <x v="1"/>
    <x v="2"/>
    <n v="3"/>
    <s v="Life Sciences"/>
    <n v="1"/>
    <n v="1547"/>
    <n v="4"/>
    <x v="1"/>
    <n v="40"/>
    <n v="3"/>
    <x v="2"/>
    <x v="4"/>
    <n v="4"/>
    <s v="Married"/>
    <n v="10124"/>
    <n v="18611"/>
    <n v="2"/>
    <s v="Y"/>
    <x v="0"/>
    <n v="14"/>
    <n v="3"/>
    <n v="3"/>
    <n v="80"/>
    <n v="1"/>
    <n v="24"/>
    <n v="3"/>
    <n v="1"/>
    <x v="23"/>
    <n v="8"/>
    <n v="13"/>
    <n v="9"/>
  </r>
  <r>
    <n v="40"/>
    <x v="1"/>
    <s v="Travel_Rarely"/>
    <n v="1342"/>
    <x v="0"/>
    <x v="14"/>
    <n v="2"/>
    <s v="Medical"/>
    <n v="1"/>
    <n v="1548"/>
    <n v="1"/>
    <x v="1"/>
    <n v="47"/>
    <n v="3"/>
    <x v="0"/>
    <x v="0"/>
    <n v="1"/>
    <s v="Married"/>
    <n v="5473"/>
    <n v="19345"/>
    <n v="0"/>
    <s v="Y"/>
    <x v="1"/>
    <n v="12"/>
    <n v="3"/>
    <n v="4"/>
    <n v="80"/>
    <n v="0"/>
    <n v="9"/>
    <n v="5"/>
    <n v="4"/>
    <x v="3"/>
    <n v="4"/>
    <n v="7"/>
    <n v="1"/>
  </r>
  <r>
    <n v="33"/>
    <x v="1"/>
    <s v="Travel_Rarely"/>
    <n v="589"/>
    <x v="1"/>
    <x v="26"/>
    <n v="4"/>
    <s v="Life Sciences"/>
    <n v="1"/>
    <n v="1549"/>
    <n v="2"/>
    <x v="1"/>
    <n v="79"/>
    <n v="3"/>
    <x v="0"/>
    <x v="2"/>
    <n v="3"/>
    <s v="Married"/>
    <n v="5207"/>
    <n v="22949"/>
    <n v="1"/>
    <s v="Y"/>
    <x v="0"/>
    <n v="12"/>
    <n v="3"/>
    <n v="2"/>
    <n v="80"/>
    <n v="1"/>
    <n v="15"/>
    <n v="3"/>
    <n v="3"/>
    <x v="15"/>
    <n v="14"/>
    <n v="5"/>
    <n v="7"/>
  </r>
  <r>
    <n v="40"/>
    <x v="1"/>
    <s v="Travel_Rarely"/>
    <n v="898"/>
    <x v="2"/>
    <x v="16"/>
    <n v="2"/>
    <s v="Medical"/>
    <n v="1"/>
    <n v="1550"/>
    <n v="3"/>
    <x v="1"/>
    <n v="38"/>
    <n v="3"/>
    <x v="3"/>
    <x v="5"/>
    <n v="4"/>
    <s v="Single"/>
    <n v="16437"/>
    <n v="17381"/>
    <n v="1"/>
    <s v="Y"/>
    <x v="0"/>
    <n v="21"/>
    <n v="4"/>
    <n v="4"/>
    <n v="80"/>
    <n v="0"/>
    <n v="21"/>
    <n v="2"/>
    <n v="3"/>
    <x v="17"/>
    <n v="7"/>
    <n v="7"/>
    <n v="7"/>
  </r>
  <r>
    <n v="24"/>
    <x v="1"/>
    <s v="Travel_Rarely"/>
    <n v="350"/>
    <x v="1"/>
    <x v="11"/>
    <n v="2"/>
    <s v="Technical Degree"/>
    <n v="1"/>
    <n v="1551"/>
    <n v="3"/>
    <x v="1"/>
    <n v="57"/>
    <n v="2"/>
    <x v="1"/>
    <x v="2"/>
    <n v="1"/>
    <s v="Divorced"/>
    <n v="2296"/>
    <n v="10036"/>
    <n v="0"/>
    <s v="Y"/>
    <x v="1"/>
    <n v="14"/>
    <n v="3"/>
    <n v="2"/>
    <n v="80"/>
    <n v="3"/>
    <n v="2"/>
    <n v="3"/>
    <n v="3"/>
    <x v="6"/>
    <n v="1"/>
    <n v="0"/>
    <n v="0"/>
  </r>
  <r>
    <n v="40"/>
    <x v="1"/>
    <s v="Non-Travel"/>
    <n v="1142"/>
    <x v="1"/>
    <x v="1"/>
    <n v="2"/>
    <s v="Life Sciences"/>
    <n v="1"/>
    <n v="1552"/>
    <n v="4"/>
    <x v="1"/>
    <n v="72"/>
    <n v="3"/>
    <x v="0"/>
    <x v="4"/>
    <n v="4"/>
    <s v="Divorced"/>
    <n v="4069"/>
    <n v="8841"/>
    <n v="3"/>
    <s v="Y"/>
    <x v="0"/>
    <n v="18"/>
    <n v="3"/>
    <n v="3"/>
    <n v="80"/>
    <n v="0"/>
    <n v="8"/>
    <n v="2"/>
    <n v="3"/>
    <x v="4"/>
    <n v="2"/>
    <n v="2"/>
    <n v="2"/>
  </r>
  <r>
    <n v="45"/>
    <x v="1"/>
    <s v="Travel_Rarely"/>
    <n v="538"/>
    <x v="1"/>
    <x v="0"/>
    <n v="4"/>
    <s v="Technical Degree"/>
    <n v="1"/>
    <n v="1553"/>
    <n v="1"/>
    <x v="1"/>
    <n v="66"/>
    <n v="3"/>
    <x v="2"/>
    <x v="4"/>
    <n v="2"/>
    <s v="Divorced"/>
    <n v="7441"/>
    <n v="20933"/>
    <n v="1"/>
    <s v="Y"/>
    <x v="1"/>
    <n v="12"/>
    <n v="3"/>
    <n v="1"/>
    <n v="80"/>
    <n v="3"/>
    <n v="10"/>
    <n v="4"/>
    <n v="3"/>
    <x v="1"/>
    <n v="8"/>
    <n v="7"/>
    <n v="7"/>
  </r>
  <r>
    <n v="35"/>
    <x v="1"/>
    <s v="Travel_Rarely"/>
    <n v="1402"/>
    <x v="0"/>
    <x v="26"/>
    <n v="4"/>
    <s v="Life Sciences"/>
    <n v="1"/>
    <n v="1554"/>
    <n v="2"/>
    <x v="0"/>
    <n v="98"/>
    <n v="2"/>
    <x v="1"/>
    <x v="6"/>
    <n v="3"/>
    <s v="Married"/>
    <n v="2430"/>
    <n v="26204"/>
    <n v="0"/>
    <s v="Y"/>
    <x v="1"/>
    <n v="23"/>
    <n v="4"/>
    <n v="1"/>
    <n v="80"/>
    <n v="2"/>
    <n v="6"/>
    <n v="5"/>
    <n v="3"/>
    <x v="8"/>
    <n v="3"/>
    <n v="4"/>
    <n v="2"/>
  </r>
  <r>
    <n v="32"/>
    <x v="1"/>
    <s v="Travel_Rarely"/>
    <n v="824"/>
    <x v="1"/>
    <x v="12"/>
    <n v="2"/>
    <s v="Life Sciences"/>
    <n v="1"/>
    <n v="1555"/>
    <n v="4"/>
    <x v="0"/>
    <n v="67"/>
    <n v="2"/>
    <x v="0"/>
    <x v="1"/>
    <n v="2"/>
    <s v="Married"/>
    <n v="5878"/>
    <n v="15624"/>
    <n v="3"/>
    <s v="Y"/>
    <x v="1"/>
    <n v="12"/>
    <n v="3"/>
    <n v="1"/>
    <n v="80"/>
    <n v="1"/>
    <n v="12"/>
    <n v="2"/>
    <n v="3"/>
    <x v="5"/>
    <n v="1"/>
    <n v="2"/>
    <n v="5"/>
  </r>
  <r>
    <n v="36"/>
    <x v="1"/>
    <s v="Travel_Rarely"/>
    <n v="1157"/>
    <x v="0"/>
    <x v="2"/>
    <n v="4"/>
    <s v="Life Sciences"/>
    <n v="1"/>
    <n v="1556"/>
    <n v="3"/>
    <x v="1"/>
    <n v="70"/>
    <n v="3"/>
    <x v="1"/>
    <x v="6"/>
    <n v="4"/>
    <s v="Single"/>
    <n v="2644"/>
    <n v="17001"/>
    <n v="3"/>
    <s v="Y"/>
    <x v="0"/>
    <n v="21"/>
    <n v="4"/>
    <n v="4"/>
    <n v="80"/>
    <n v="0"/>
    <n v="7"/>
    <n v="3"/>
    <n v="2"/>
    <x v="11"/>
    <n v="2"/>
    <n v="1"/>
    <n v="2"/>
  </r>
  <r>
    <n v="48"/>
    <x v="1"/>
    <s v="Travel_Rarely"/>
    <n v="492"/>
    <x v="0"/>
    <x v="7"/>
    <n v="4"/>
    <s v="Life Sciences"/>
    <n v="1"/>
    <n v="1557"/>
    <n v="3"/>
    <x v="0"/>
    <n v="96"/>
    <n v="3"/>
    <x v="0"/>
    <x v="0"/>
    <n v="3"/>
    <s v="Divorced"/>
    <n v="6439"/>
    <n v="13693"/>
    <n v="8"/>
    <s v="Y"/>
    <x v="1"/>
    <n v="14"/>
    <n v="3"/>
    <n v="3"/>
    <n v="80"/>
    <n v="1"/>
    <n v="18"/>
    <n v="2"/>
    <n v="3"/>
    <x v="3"/>
    <n v="7"/>
    <n v="7"/>
    <n v="7"/>
  </r>
  <r>
    <n v="29"/>
    <x v="1"/>
    <s v="Travel_Rarely"/>
    <n v="598"/>
    <x v="1"/>
    <x v="14"/>
    <n v="3"/>
    <s v="Life Sciences"/>
    <n v="1"/>
    <n v="1558"/>
    <n v="3"/>
    <x v="1"/>
    <n v="91"/>
    <n v="4"/>
    <x v="1"/>
    <x v="1"/>
    <n v="3"/>
    <s v="Married"/>
    <n v="2451"/>
    <n v="22376"/>
    <n v="6"/>
    <s v="Y"/>
    <x v="1"/>
    <n v="18"/>
    <n v="3"/>
    <n v="1"/>
    <n v="80"/>
    <n v="2"/>
    <n v="5"/>
    <n v="2"/>
    <n v="2"/>
    <x v="6"/>
    <n v="0"/>
    <n v="0"/>
    <n v="0"/>
  </r>
  <r>
    <n v="33"/>
    <x v="1"/>
    <s v="Travel_Rarely"/>
    <n v="1242"/>
    <x v="0"/>
    <x v="1"/>
    <n v="4"/>
    <s v="Life Sciences"/>
    <n v="1"/>
    <n v="1560"/>
    <n v="1"/>
    <x v="1"/>
    <n v="46"/>
    <n v="3"/>
    <x v="0"/>
    <x v="0"/>
    <n v="1"/>
    <s v="Married"/>
    <n v="6392"/>
    <n v="10589"/>
    <n v="2"/>
    <s v="Y"/>
    <x v="1"/>
    <n v="13"/>
    <n v="3"/>
    <n v="4"/>
    <n v="80"/>
    <n v="1"/>
    <n v="8"/>
    <n v="6"/>
    <n v="1"/>
    <x v="4"/>
    <n v="2"/>
    <n v="2"/>
    <n v="2"/>
  </r>
  <r>
    <n v="30"/>
    <x v="0"/>
    <s v="Travel_Rarely"/>
    <n v="740"/>
    <x v="0"/>
    <x v="0"/>
    <n v="3"/>
    <s v="Life Sciences"/>
    <n v="1"/>
    <n v="1562"/>
    <n v="2"/>
    <x v="1"/>
    <n v="64"/>
    <n v="2"/>
    <x v="0"/>
    <x v="0"/>
    <n v="1"/>
    <s v="Married"/>
    <n v="9714"/>
    <n v="5323"/>
    <n v="1"/>
    <s v="Y"/>
    <x v="1"/>
    <n v="11"/>
    <n v="3"/>
    <n v="4"/>
    <n v="80"/>
    <n v="1"/>
    <n v="10"/>
    <n v="4"/>
    <n v="3"/>
    <x v="1"/>
    <n v="8"/>
    <n v="6"/>
    <n v="7"/>
  </r>
  <r>
    <n v="38"/>
    <x v="1"/>
    <s v="Travel_Frequently"/>
    <n v="888"/>
    <x v="2"/>
    <x v="17"/>
    <n v="4"/>
    <s v="Human Resources"/>
    <n v="1"/>
    <n v="1563"/>
    <n v="3"/>
    <x v="1"/>
    <n v="71"/>
    <n v="3"/>
    <x v="0"/>
    <x v="8"/>
    <n v="3"/>
    <s v="Married"/>
    <n v="6077"/>
    <n v="14814"/>
    <n v="3"/>
    <s v="Y"/>
    <x v="1"/>
    <n v="11"/>
    <n v="3"/>
    <n v="3"/>
    <n v="80"/>
    <n v="0"/>
    <n v="10"/>
    <n v="2"/>
    <n v="3"/>
    <x v="0"/>
    <n v="3"/>
    <n v="1"/>
    <n v="2"/>
  </r>
  <r>
    <n v="35"/>
    <x v="1"/>
    <s v="Travel_Rarely"/>
    <n v="992"/>
    <x v="1"/>
    <x v="0"/>
    <n v="3"/>
    <s v="Medical"/>
    <n v="1"/>
    <n v="1564"/>
    <n v="4"/>
    <x v="1"/>
    <n v="68"/>
    <n v="2"/>
    <x v="1"/>
    <x v="2"/>
    <n v="1"/>
    <s v="Single"/>
    <n v="2450"/>
    <n v="21731"/>
    <n v="1"/>
    <s v="Y"/>
    <x v="1"/>
    <n v="19"/>
    <n v="3"/>
    <n v="2"/>
    <n v="80"/>
    <n v="0"/>
    <n v="3"/>
    <n v="3"/>
    <n v="3"/>
    <x v="11"/>
    <n v="0"/>
    <n v="1"/>
    <n v="2"/>
  </r>
  <r>
    <n v="30"/>
    <x v="1"/>
    <s v="Travel_Rarely"/>
    <n v="1288"/>
    <x v="0"/>
    <x v="22"/>
    <n v="4"/>
    <s v="Technical Degree"/>
    <n v="1"/>
    <n v="1568"/>
    <n v="3"/>
    <x v="1"/>
    <n v="33"/>
    <n v="3"/>
    <x v="2"/>
    <x v="0"/>
    <n v="2"/>
    <s v="Married"/>
    <n v="9250"/>
    <n v="17799"/>
    <n v="3"/>
    <s v="Y"/>
    <x v="1"/>
    <n v="12"/>
    <n v="3"/>
    <n v="2"/>
    <n v="80"/>
    <n v="1"/>
    <n v="9"/>
    <n v="3"/>
    <n v="3"/>
    <x v="9"/>
    <n v="2"/>
    <n v="1"/>
    <n v="3"/>
  </r>
  <r>
    <n v="35"/>
    <x v="0"/>
    <s v="Travel_Rarely"/>
    <n v="104"/>
    <x v="1"/>
    <x v="2"/>
    <n v="3"/>
    <s v="Life Sciences"/>
    <n v="1"/>
    <n v="1569"/>
    <n v="1"/>
    <x v="0"/>
    <n v="69"/>
    <n v="3"/>
    <x v="1"/>
    <x v="2"/>
    <n v="1"/>
    <s v="Divorced"/>
    <n v="2074"/>
    <n v="26619"/>
    <n v="1"/>
    <s v="Y"/>
    <x v="0"/>
    <n v="12"/>
    <n v="3"/>
    <n v="4"/>
    <n v="80"/>
    <n v="1"/>
    <n v="1"/>
    <n v="2"/>
    <n v="3"/>
    <x v="6"/>
    <n v="0"/>
    <n v="0"/>
    <n v="0"/>
  </r>
  <r>
    <n v="53"/>
    <x v="0"/>
    <s v="Travel_Rarely"/>
    <n v="607"/>
    <x v="1"/>
    <x v="2"/>
    <n v="5"/>
    <s v="Technical Degree"/>
    <n v="1"/>
    <n v="1572"/>
    <n v="3"/>
    <x v="0"/>
    <n v="78"/>
    <n v="2"/>
    <x v="2"/>
    <x v="3"/>
    <n v="4"/>
    <s v="Married"/>
    <n v="10169"/>
    <n v="14618"/>
    <n v="0"/>
    <s v="Y"/>
    <x v="1"/>
    <n v="16"/>
    <n v="3"/>
    <n v="2"/>
    <n v="80"/>
    <n v="1"/>
    <n v="34"/>
    <n v="4"/>
    <n v="3"/>
    <x v="26"/>
    <n v="7"/>
    <n v="1"/>
    <n v="9"/>
  </r>
  <r>
    <n v="38"/>
    <x v="0"/>
    <s v="Travel_Rarely"/>
    <n v="903"/>
    <x v="1"/>
    <x v="2"/>
    <n v="3"/>
    <s v="Medical"/>
    <n v="1"/>
    <n v="1573"/>
    <n v="3"/>
    <x v="1"/>
    <n v="81"/>
    <n v="3"/>
    <x v="0"/>
    <x v="3"/>
    <n v="2"/>
    <s v="Married"/>
    <n v="4855"/>
    <n v="7653"/>
    <n v="4"/>
    <s v="Y"/>
    <x v="1"/>
    <n v="11"/>
    <n v="3"/>
    <n v="1"/>
    <n v="80"/>
    <n v="2"/>
    <n v="7"/>
    <n v="2"/>
    <n v="3"/>
    <x v="8"/>
    <n v="2"/>
    <n v="1"/>
    <n v="4"/>
  </r>
  <r>
    <n v="32"/>
    <x v="1"/>
    <s v="Non-Travel"/>
    <n v="1200"/>
    <x v="1"/>
    <x v="0"/>
    <n v="4"/>
    <s v="Technical Degree"/>
    <n v="1"/>
    <n v="1574"/>
    <n v="4"/>
    <x v="1"/>
    <n v="62"/>
    <n v="3"/>
    <x v="0"/>
    <x v="1"/>
    <n v="1"/>
    <s v="Married"/>
    <n v="4087"/>
    <n v="25174"/>
    <n v="4"/>
    <s v="Y"/>
    <x v="1"/>
    <n v="14"/>
    <n v="3"/>
    <n v="2"/>
    <n v="80"/>
    <n v="1"/>
    <n v="9"/>
    <n v="3"/>
    <n v="2"/>
    <x v="0"/>
    <n v="5"/>
    <n v="1"/>
    <n v="2"/>
  </r>
  <r>
    <n v="48"/>
    <x v="1"/>
    <s v="Travel_Rarely"/>
    <n v="1108"/>
    <x v="1"/>
    <x v="8"/>
    <n v="4"/>
    <s v="Other"/>
    <n v="1"/>
    <n v="1576"/>
    <n v="3"/>
    <x v="0"/>
    <n v="65"/>
    <n v="3"/>
    <x v="1"/>
    <x v="1"/>
    <n v="1"/>
    <s v="Married"/>
    <n v="2367"/>
    <n v="16530"/>
    <n v="8"/>
    <s v="Y"/>
    <x v="1"/>
    <n v="12"/>
    <n v="3"/>
    <n v="4"/>
    <n v="80"/>
    <n v="1"/>
    <n v="10"/>
    <n v="3"/>
    <n v="2"/>
    <x v="3"/>
    <n v="2"/>
    <n v="7"/>
    <n v="6"/>
  </r>
  <r>
    <n v="34"/>
    <x v="1"/>
    <s v="Travel_Rarely"/>
    <n v="479"/>
    <x v="1"/>
    <x v="15"/>
    <n v="4"/>
    <s v="Medical"/>
    <n v="1"/>
    <n v="1577"/>
    <n v="1"/>
    <x v="1"/>
    <n v="35"/>
    <n v="3"/>
    <x v="1"/>
    <x v="1"/>
    <n v="4"/>
    <s v="Single"/>
    <n v="2972"/>
    <n v="22061"/>
    <n v="1"/>
    <s v="Y"/>
    <x v="1"/>
    <n v="13"/>
    <n v="3"/>
    <n v="3"/>
    <n v="80"/>
    <n v="0"/>
    <n v="1"/>
    <n v="4"/>
    <n v="1"/>
    <x v="6"/>
    <n v="0"/>
    <n v="0"/>
    <n v="0"/>
  </r>
  <r>
    <n v="55"/>
    <x v="1"/>
    <s v="Travel_Rarely"/>
    <n v="685"/>
    <x v="0"/>
    <x v="9"/>
    <n v="5"/>
    <s v="Marketing"/>
    <n v="1"/>
    <n v="1578"/>
    <n v="3"/>
    <x v="1"/>
    <n v="60"/>
    <n v="2"/>
    <x v="4"/>
    <x v="5"/>
    <n v="4"/>
    <s v="Married"/>
    <n v="19586"/>
    <n v="23037"/>
    <n v="1"/>
    <s v="Y"/>
    <x v="1"/>
    <n v="21"/>
    <n v="4"/>
    <n v="3"/>
    <n v="80"/>
    <n v="1"/>
    <n v="36"/>
    <n v="3"/>
    <n v="3"/>
    <x v="28"/>
    <n v="6"/>
    <n v="2"/>
    <n v="13"/>
  </r>
  <r>
    <n v="34"/>
    <x v="1"/>
    <s v="Travel_Rarely"/>
    <n v="1351"/>
    <x v="1"/>
    <x v="0"/>
    <n v="4"/>
    <s v="Life Sciences"/>
    <n v="1"/>
    <n v="1580"/>
    <n v="2"/>
    <x v="1"/>
    <n v="45"/>
    <n v="3"/>
    <x v="0"/>
    <x v="1"/>
    <n v="4"/>
    <s v="Married"/>
    <n v="5484"/>
    <n v="13008"/>
    <n v="9"/>
    <s v="Y"/>
    <x v="1"/>
    <n v="17"/>
    <n v="3"/>
    <n v="2"/>
    <n v="80"/>
    <n v="1"/>
    <n v="9"/>
    <n v="3"/>
    <n v="2"/>
    <x v="4"/>
    <n v="2"/>
    <n v="2"/>
    <n v="1"/>
  </r>
  <r>
    <n v="26"/>
    <x v="1"/>
    <s v="Travel_Rarely"/>
    <n v="474"/>
    <x v="1"/>
    <x v="3"/>
    <n v="3"/>
    <s v="Life Sciences"/>
    <n v="1"/>
    <n v="1581"/>
    <n v="1"/>
    <x v="0"/>
    <n v="89"/>
    <n v="3"/>
    <x v="1"/>
    <x v="1"/>
    <n v="4"/>
    <s v="Married"/>
    <n v="2061"/>
    <n v="11133"/>
    <n v="1"/>
    <s v="Y"/>
    <x v="1"/>
    <n v="21"/>
    <n v="4"/>
    <n v="1"/>
    <n v="80"/>
    <n v="0"/>
    <n v="1"/>
    <n v="5"/>
    <n v="3"/>
    <x v="6"/>
    <n v="0"/>
    <n v="0"/>
    <n v="0"/>
  </r>
  <r>
    <n v="38"/>
    <x v="1"/>
    <s v="Travel_Rarely"/>
    <n v="1245"/>
    <x v="0"/>
    <x v="24"/>
    <n v="3"/>
    <s v="Life Sciences"/>
    <n v="1"/>
    <n v="1582"/>
    <n v="3"/>
    <x v="1"/>
    <n v="80"/>
    <n v="3"/>
    <x v="0"/>
    <x v="0"/>
    <n v="2"/>
    <s v="Married"/>
    <n v="9924"/>
    <n v="12355"/>
    <n v="0"/>
    <s v="Y"/>
    <x v="1"/>
    <n v="11"/>
    <n v="3"/>
    <n v="4"/>
    <n v="80"/>
    <n v="1"/>
    <n v="10"/>
    <n v="3"/>
    <n v="3"/>
    <x v="7"/>
    <n v="8"/>
    <n v="7"/>
    <n v="7"/>
  </r>
  <r>
    <n v="38"/>
    <x v="1"/>
    <s v="Travel_Rarely"/>
    <n v="437"/>
    <x v="0"/>
    <x v="7"/>
    <n v="3"/>
    <s v="Life Sciences"/>
    <n v="1"/>
    <n v="1583"/>
    <n v="2"/>
    <x v="0"/>
    <n v="90"/>
    <n v="3"/>
    <x v="0"/>
    <x v="0"/>
    <n v="2"/>
    <s v="Single"/>
    <n v="4198"/>
    <n v="16379"/>
    <n v="2"/>
    <s v="Y"/>
    <x v="1"/>
    <n v="12"/>
    <n v="3"/>
    <n v="2"/>
    <n v="80"/>
    <n v="0"/>
    <n v="8"/>
    <n v="5"/>
    <n v="4"/>
    <x v="11"/>
    <n v="2"/>
    <n v="1"/>
    <n v="2"/>
  </r>
  <r>
    <n v="36"/>
    <x v="1"/>
    <s v="Travel_Rarely"/>
    <n v="884"/>
    <x v="0"/>
    <x v="0"/>
    <n v="4"/>
    <s v="Life Sciences"/>
    <n v="1"/>
    <n v="1585"/>
    <n v="2"/>
    <x v="0"/>
    <n v="73"/>
    <n v="3"/>
    <x v="0"/>
    <x v="0"/>
    <n v="3"/>
    <s v="Single"/>
    <n v="6815"/>
    <n v="21447"/>
    <n v="6"/>
    <s v="Y"/>
    <x v="1"/>
    <n v="13"/>
    <n v="3"/>
    <n v="1"/>
    <n v="80"/>
    <n v="0"/>
    <n v="15"/>
    <n v="5"/>
    <n v="3"/>
    <x v="6"/>
    <n v="0"/>
    <n v="0"/>
    <n v="0"/>
  </r>
  <r>
    <n v="29"/>
    <x v="1"/>
    <s v="Travel_Rarely"/>
    <n v="1370"/>
    <x v="1"/>
    <x v="3"/>
    <n v="1"/>
    <s v="Medical"/>
    <n v="1"/>
    <n v="1586"/>
    <n v="2"/>
    <x v="1"/>
    <n v="87"/>
    <n v="3"/>
    <x v="1"/>
    <x v="2"/>
    <n v="1"/>
    <s v="Single"/>
    <n v="4723"/>
    <n v="16213"/>
    <n v="1"/>
    <s v="Y"/>
    <x v="0"/>
    <n v="18"/>
    <n v="3"/>
    <n v="4"/>
    <n v="80"/>
    <n v="0"/>
    <n v="10"/>
    <n v="3"/>
    <n v="3"/>
    <x v="1"/>
    <n v="9"/>
    <n v="1"/>
    <n v="5"/>
  </r>
  <r>
    <n v="35"/>
    <x v="1"/>
    <s v="Travel_Rarely"/>
    <n v="670"/>
    <x v="1"/>
    <x v="17"/>
    <n v="4"/>
    <s v="Medical"/>
    <n v="1"/>
    <n v="1587"/>
    <n v="1"/>
    <x v="0"/>
    <n v="51"/>
    <n v="3"/>
    <x v="0"/>
    <x v="4"/>
    <n v="3"/>
    <s v="Single"/>
    <n v="6142"/>
    <n v="4223"/>
    <n v="3"/>
    <s v="Y"/>
    <x v="0"/>
    <n v="16"/>
    <n v="3"/>
    <n v="3"/>
    <n v="80"/>
    <n v="0"/>
    <n v="10"/>
    <n v="4"/>
    <n v="3"/>
    <x v="8"/>
    <n v="2"/>
    <n v="0"/>
    <n v="4"/>
  </r>
  <r>
    <n v="39"/>
    <x v="1"/>
    <s v="Travel_Rarely"/>
    <n v="1462"/>
    <x v="0"/>
    <x v="16"/>
    <n v="3"/>
    <s v="Medical"/>
    <n v="1"/>
    <n v="1588"/>
    <n v="4"/>
    <x v="1"/>
    <n v="38"/>
    <n v="4"/>
    <x v="2"/>
    <x v="0"/>
    <n v="3"/>
    <s v="Married"/>
    <n v="8237"/>
    <n v="4658"/>
    <n v="2"/>
    <s v="Y"/>
    <x v="1"/>
    <n v="11"/>
    <n v="3"/>
    <n v="1"/>
    <n v="80"/>
    <n v="1"/>
    <n v="11"/>
    <n v="3"/>
    <n v="3"/>
    <x v="5"/>
    <n v="6"/>
    <n v="7"/>
    <n v="6"/>
  </r>
  <r>
    <n v="29"/>
    <x v="1"/>
    <s v="Travel_Frequently"/>
    <n v="995"/>
    <x v="1"/>
    <x v="2"/>
    <n v="1"/>
    <s v="Life Sciences"/>
    <n v="1"/>
    <n v="1590"/>
    <n v="1"/>
    <x v="1"/>
    <n v="87"/>
    <n v="3"/>
    <x v="0"/>
    <x v="4"/>
    <n v="4"/>
    <s v="Divorced"/>
    <n v="8853"/>
    <n v="24483"/>
    <n v="1"/>
    <s v="Y"/>
    <x v="1"/>
    <n v="19"/>
    <n v="3"/>
    <n v="4"/>
    <n v="80"/>
    <n v="1"/>
    <n v="6"/>
    <n v="0"/>
    <n v="4"/>
    <x v="0"/>
    <n v="4"/>
    <n v="1"/>
    <n v="3"/>
  </r>
  <r>
    <n v="50"/>
    <x v="1"/>
    <s v="Travel_Rarely"/>
    <n v="264"/>
    <x v="0"/>
    <x v="14"/>
    <n v="3"/>
    <s v="Marketing"/>
    <n v="1"/>
    <n v="1591"/>
    <n v="3"/>
    <x v="1"/>
    <n v="59"/>
    <n v="3"/>
    <x v="4"/>
    <x v="5"/>
    <n v="3"/>
    <s v="Married"/>
    <n v="19331"/>
    <n v="19519"/>
    <n v="4"/>
    <s v="Y"/>
    <x v="0"/>
    <n v="16"/>
    <n v="3"/>
    <n v="3"/>
    <n v="80"/>
    <n v="1"/>
    <n v="27"/>
    <n v="2"/>
    <n v="3"/>
    <x v="6"/>
    <n v="0"/>
    <n v="0"/>
    <n v="0"/>
  </r>
  <r>
    <n v="23"/>
    <x v="1"/>
    <s v="Travel_Rarely"/>
    <n v="977"/>
    <x v="1"/>
    <x v="17"/>
    <n v="3"/>
    <s v="Technical Degree"/>
    <n v="1"/>
    <n v="1592"/>
    <n v="4"/>
    <x v="1"/>
    <n v="45"/>
    <n v="4"/>
    <x v="1"/>
    <x v="1"/>
    <n v="3"/>
    <s v="Married"/>
    <n v="2073"/>
    <n v="12826"/>
    <n v="2"/>
    <s v="Y"/>
    <x v="1"/>
    <n v="16"/>
    <n v="3"/>
    <n v="4"/>
    <n v="80"/>
    <n v="1"/>
    <n v="4"/>
    <n v="2"/>
    <n v="3"/>
    <x v="4"/>
    <n v="2"/>
    <n v="2"/>
    <n v="2"/>
  </r>
  <r>
    <n v="36"/>
    <x v="1"/>
    <s v="Travel_Frequently"/>
    <n v="1302"/>
    <x v="1"/>
    <x v="16"/>
    <n v="4"/>
    <s v="Life Sciences"/>
    <n v="1"/>
    <n v="1594"/>
    <n v="1"/>
    <x v="1"/>
    <n v="80"/>
    <n v="4"/>
    <x v="0"/>
    <x v="2"/>
    <n v="1"/>
    <s v="Married"/>
    <n v="5562"/>
    <n v="19711"/>
    <n v="3"/>
    <s v="Y"/>
    <x v="0"/>
    <n v="13"/>
    <n v="3"/>
    <n v="4"/>
    <n v="80"/>
    <n v="1"/>
    <n v="9"/>
    <n v="3"/>
    <n v="3"/>
    <x v="11"/>
    <n v="2"/>
    <n v="0"/>
    <n v="2"/>
  </r>
  <r>
    <n v="42"/>
    <x v="1"/>
    <s v="Travel_Rarely"/>
    <n v="1059"/>
    <x v="1"/>
    <x v="14"/>
    <n v="2"/>
    <s v="Other"/>
    <n v="1"/>
    <n v="1595"/>
    <n v="4"/>
    <x v="1"/>
    <n v="93"/>
    <n v="2"/>
    <x v="4"/>
    <x v="5"/>
    <n v="4"/>
    <s v="Single"/>
    <n v="19613"/>
    <n v="26362"/>
    <n v="8"/>
    <s v="Y"/>
    <x v="1"/>
    <n v="22"/>
    <n v="4"/>
    <n v="4"/>
    <n v="80"/>
    <n v="0"/>
    <n v="24"/>
    <n v="2"/>
    <n v="3"/>
    <x v="6"/>
    <n v="0"/>
    <n v="0"/>
    <n v="1"/>
  </r>
  <r>
    <n v="35"/>
    <x v="1"/>
    <s v="Travel_Rarely"/>
    <n v="750"/>
    <x v="1"/>
    <x v="26"/>
    <n v="3"/>
    <s v="Life Sciences"/>
    <n v="1"/>
    <n v="1596"/>
    <n v="2"/>
    <x v="1"/>
    <n v="46"/>
    <n v="4"/>
    <x v="0"/>
    <x v="2"/>
    <n v="3"/>
    <s v="Married"/>
    <n v="3407"/>
    <n v="25348"/>
    <n v="1"/>
    <s v="Y"/>
    <x v="1"/>
    <n v="17"/>
    <n v="3"/>
    <n v="4"/>
    <n v="80"/>
    <n v="2"/>
    <n v="10"/>
    <n v="3"/>
    <n v="2"/>
    <x v="1"/>
    <n v="9"/>
    <n v="6"/>
    <n v="8"/>
  </r>
  <r>
    <n v="34"/>
    <x v="1"/>
    <s v="Travel_Frequently"/>
    <n v="653"/>
    <x v="1"/>
    <x v="17"/>
    <n v="4"/>
    <s v="Technical Degree"/>
    <n v="1"/>
    <n v="1597"/>
    <n v="4"/>
    <x v="1"/>
    <n v="92"/>
    <n v="2"/>
    <x v="0"/>
    <x v="4"/>
    <n v="3"/>
    <s v="Married"/>
    <n v="5063"/>
    <n v="15332"/>
    <n v="1"/>
    <s v="Y"/>
    <x v="1"/>
    <n v="14"/>
    <n v="3"/>
    <n v="2"/>
    <n v="80"/>
    <n v="1"/>
    <n v="8"/>
    <n v="3"/>
    <n v="2"/>
    <x v="3"/>
    <n v="2"/>
    <n v="7"/>
    <n v="7"/>
  </r>
  <r>
    <n v="40"/>
    <x v="1"/>
    <s v="Travel_Rarely"/>
    <n v="118"/>
    <x v="0"/>
    <x v="24"/>
    <n v="2"/>
    <s v="Life Sciences"/>
    <n v="1"/>
    <n v="1598"/>
    <n v="4"/>
    <x v="0"/>
    <n v="84"/>
    <n v="3"/>
    <x v="0"/>
    <x v="0"/>
    <n v="1"/>
    <s v="Married"/>
    <n v="4639"/>
    <n v="11262"/>
    <n v="1"/>
    <s v="Y"/>
    <x v="1"/>
    <n v="15"/>
    <n v="3"/>
    <n v="3"/>
    <n v="80"/>
    <n v="1"/>
    <n v="5"/>
    <n v="2"/>
    <n v="3"/>
    <x v="8"/>
    <n v="4"/>
    <n v="1"/>
    <n v="2"/>
  </r>
  <r>
    <n v="43"/>
    <x v="1"/>
    <s v="Travel_Rarely"/>
    <n v="990"/>
    <x v="1"/>
    <x v="6"/>
    <n v="3"/>
    <s v="Technical Degree"/>
    <n v="1"/>
    <n v="1599"/>
    <n v="4"/>
    <x v="1"/>
    <n v="87"/>
    <n v="4"/>
    <x v="1"/>
    <x v="2"/>
    <n v="2"/>
    <s v="Divorced"/>
    <n v="4876"/>
    <n v="5855"/>
    <n v="5"/>
    <s v="Y"/>
    <x v="1"/>
    <n v="12"/>
    <n v="3"/>
    <n v="3"/>
    <n v="80"/>
    <n v="1"/>
    <n v="8"/>
    <n v="0"/>
    <n v="3"/>
    <x v="0"/>
    <n v="4"/>
    <n v="0"/>
    <n v="2"/>
  </r>
  <r>
    <n v="35"/>
    <x v="1"/>
    <s v="Travel_Rarely"/>
    <n v="1349"/>
    <x v="1"/>
    <x v="15"/>
    <n v="2"/>
    <s v="Life Sciences"/>
    <n v="1"/>
    <n v="1601"/>
    <n v="3"/>
    <x v="1"/>
    <n v="63"/>
    <n v="2"/>
    <x v="1"/>
    <x v="2"/>
    <n v="4"/>
    <s v="Married"/>
    <n v="2690"/>
    <n v="7713"/>
    <n v="1"/>
    <s v="Y"/>
    <x v="1"/>
    <n v="18"/>
    <n v="3"/>
    <n v="4"/>
    <n v="80"/>
    <n v="1"/>
    <n v="1"/>
    <n v="5"/>
    <n v="2"/>
    <x v="6"/>
    <n v="0"/>
    <n v="0"/>
    <n v="1"/>
  </r>
  <r>
    <n v="46"/>
    <x v="1"/>
    <s v="Travel_Rarely"/>
    <n v="563"/>
    <x v="0"/>
    <x v="0"/>
    <n v="4"/>
    <s v="Life Sciences"/>
    <n v="1"/>
    <n v="1602"/>
    <n v="4"/>
    <x v="1"/>
    <n v="56"/>
    <n v="4"/>
    <x v="3"/>
    <x v="5"/>
    <n v="1"/>
    <s v="Single"/>
    <n v="17567"/>
    <n v="3156"/>
    <n v="1"/>
    <s v="Y"/>
    <x v="1"/>
    <n v="15"/>
    <n v="3"/>
    <n v="2"/>
    <n v="80"/>
    <n v="0"/>
    <n v="27"/>
    <n v="5"/>
    <n v="1"/>
    <x v="34"/>
    <n v="0"/>
    <n v="0"/>
    <n v="12"/>
  </r>
  <r>
    <n v="28"/>
    <x v="0"/>
    <s v="Travel_Rarely"/>
    <n v="329"/>
    <x v="1"/>
    <x v="4"/>
    <n v="3"/>
    <s v="Medical"/>
    <n v="1"/>
    <n v="1604"/>
    <n v="3"/>
    <x v="1"/>
    <n v="51"/>
    <n v="3"/>
    <x v="1"/>
    <x v="2"/>
    <n v="2"/>
    <s v="Married"/>
    <n v="2408"/>
    <n v="7324"/>
    <n v="1"/>
    <s v="Y"/>
    <x v="0"/>
    <n v="17"/>
    <n v="3"/>
    <n v="3"/>
    <n v="80"/>
    <n v="3"/>
    <n v="1"/>
    <n v="3"/>
    <n v="3"/>
    <x v="6"/>
    <n v="1"/>
    <n v="0"/>
    <n v="0"/>
  </r>
  <r>
    <n v="22"/>
    <x v="1"/>
    <s v="Non-Travel"/>
    <n v="457"/>
    <x v="1"/>
    <x v="9"/>
    <n v="2"/>
    <s v="Other"/>
    <n v="1"/>
    <n v="1605"/>
    <n v="2"/>
    <x v="0"/>
    <n v="85"/>
    <n v="2"/>
    <x v="1"/>
    <x v="1"/>
    <n v="3"/>
    <s v="Married"/>
    <n v="2814"/>
    <n v="10293"/>
    <n v="1"/>
    <s v="Y"/>
    <x v="0"/>
    <n v="14"/>
    <n v="3"/>
    <n v="2"/>
    <n v="80"/>
    <n v="0"/>
    <n v="4"/>
    <n v="2"/>
    <n v="2"/>
    <x v="9"/>
    <n v="2"/>
    <n v="1"/>
    <n v="3"/>
  </r>
  <r>
    <n v="50"/>
    <x v="1"/>
    <s v="Travel_Frequently"/>
    <n v="1234"/>
    <x v="1"/>
    <x v="25"/>
    <n v="5"/>
    <s v="Medical"/>
    <n v="1"/>
    <n v="1606"/>
    <n v="2"/>
    <x v="1"/>
    <n v="41"/>
    <n v="3"/>
    <x v="3"/>
    <x v="4"/>
    <n v="3"/>
    <s v="Married"/>
    <n v="11245"/>
    <n v="20689"/>
    <n v="2"/>
    <s v="Y"/>
    <x v="0"/>
    <n v="15"/>
    <n v="3"/>
    <n v="3"/>
    <n v="80"/>
    <n v="1"/>
    <n v="32"/>
    <n v="3"/>
    <n v="3"/>
    <x v="35"/>
    <n v="8"/>
    <n v="12"/>
    <n v="13"/>
  </r>
  <r>
    <n v="32"/>
    <x v="1"/>
    <s v="Travel_Rarely"/>
    <n v="634"/>
    <x v="1"/>
    <x v="12"/>
    <n v="4"/>
    <s v="Other"/>
    <n v="1"/>
    <n v="1607"/>
    <n v="2"/>
    <x v="0"/>
    <n v="35"/>
    <n v="4"/>
    <x v="1"/>
    <x v="1"/>
    <n v="4"/>
    <s v="Married"/>
    <n v="3312"/>
    <n v="18783"/>
    <n v="3"/>
    <s v="Y"/>
    <x v="1"/>
    <n v="17"/>
    <n v="3"/>
    <n v="4"/>
    <n v="80"/>
    <n v="2"/>
    <n v="6"/>
    <n v="3"/>
    <n v="3"/>
    <x v="11"/>
    <n v="2"/>
    <n v="0"/>
    <n v="2"/>
  </r>
  <r>
    <n v="44"/>
    <x v="1"/>
    <s v="Travel_Rarely"/>
    <n v="1313"/>
    <x v="1"/>
    <x v="15"/>
    <n v="3"/>
    <s v="Medical"/>
    <n v="1"/>
    <n v="1608"/>
    <n v="2"/>
    <x v="0"/>
    <n v="31"/>
    <n v="3"/>
    <x v="4"/>
    <x v="7"/>
    <n v="4"/>
    <s v="Divorced"/>
    <n v="19049"/>
    <n v="3549"/>
    <n v="0"/>
    <s v="Y"/>
    <x v="0"/>
    <n v="14"/>
    <n v="3"/>
    <n v="4"/>
    <n v="80"/>
    <n v="1"/>
    <n v="23"/>
    <n v="4"/>
    <n v="2"/>
    <x v="14"/>
    <n v="7"/>
    <n v="1"/>
    <n v="10"/>
  </r>
  <r>
    <n v="30"/>
    <x v="1"/>
    <s v="Travel_Rarely"/>
    <n v="241"/>
    <x v="1"/>
    <x v="15"/>
    <n v="3"/>
    <s v="Medical"/>
    <n v="1"/>
    <n v="1609"/>
    <n v="2"/>
    <x v="1"/>
    <n v="48"/>
    <n v="2"/>
    <x v="1"/>
    <x v="1"/>
    <n v="2"/>
    <s v="Married"/>
    <n v="2141"/>
    <n v="5348"/>
    <n v="1"/>
    <s v="Y"/>
    <x v="1"/>
    <n v="12"/>
    <n v="3"/>
    <n v="2"/>
    <n v="80"/>
    <n v="1"/>
    <n v="6"/>
    <n v="3"/>
    <n v="2"/>
    <x v="0"/>
    <n v="4"/>
    <n v="1"/>
    <n v="1"/>
  </r>
  <r>
    <n v="45"/>
    <x v="1"/>
    <s v="Travel_Rarely"/>
    <n v="1015"/>
    <x v="1"/>
    <x v="12"/>
    <n v="5"/>
    <s v="Medical"/>
    <n v="1"/>
    <n v="1611"/>
    <n v="3"/>
    <x v="0"/>
    <n v="50"/>
    <n v="1"/>
    <x v="0"/>
    <x v="2"/>
    <n v="1"/>
    <s v="Single"/>
    <n v="5769"/>
    <n v="23447"/>
    <n v="1"/>
    <s v="Y"/>
    <x v="0"/>
    <n v="14"/>
    <n v="3"/>
    <n v="1"/>
    <n v="80"/>
    <n v="0"/>
    <n v="10"/>
    <n v="3"/>
    <n v="3"/>
    <x v="1"/>
    <n v="7"/>
    <n v="1"/>
    <n v="4"/>
  </r>
  <r>
    <n v="45"/>
    <x v="1"/>
    <s v="Non-Travel"/>
    <n v="336"/>
    <x v="0"/>
    <x v="9"/>
    <n v="3"/>
    <s v="Marketing"/>
    <n v="1"/>
    <n v="1612"/>
    <n v="1"/>
    <x v="1"/>
    <n v="52"/>
    <n v="2"/>
    <x v="0"/>
    <x v="0"/>
    <n v="1"/>
    <s v="Married"/>
    <n v="4385"/>
    <n v="24162"/>
    <n v="1"/>
    <s v="Y"/>
    <x v="1"/>
    <n v="15"/>
    <n v="3"/>
    <n v="1"/>
    <n v="80"/>
    <n v="1"/>
    <n v="10"/>
    <n v="2"/>
    <n v="3"/>
    <x v="1"/>
    <n v="7"/>
    <n v="4"/>
    <n v="5"/>
  </r>
  <r>
    <n v="31"/>
    <x v="1"/>
    <s v="Travel_Frequently"/>
    <n v="715"/>
    <x v="0"/>
    <x v="2"/>
    <n v="4"/>
    <s v="Other"/>
    <n v="1"/>
    <n v="1613"/>
    <n v="4"/>
    <x v="1"/>
    <n v="54"/>
    <n v="3"/>
    <x v="0"/>
    <x v="0"/>
    <n v="1"/>
    <s v="Single"/>
    <n v="5332"/>
    <n v="21602"/>
    <n v="7"/>
    <s v="Y"/>
    <x v="1"/>
    <n v="13"/>
    <n v="3"/>
    <n v="4"/>
    <n v="80"/>
    <n v="0"/>
    <n v="10"/>
    <n v="3"/>
    <n v="3"/>
    <x v="8"/>
    <n v="2"/>
    <n v="0"/>
    <n v="3"/>
  </r>
  <r>
    <n v="36"/>
    <x v="1"/>
    <s v="Travel_Rarely"/>
    <n v="559"/>
    <x v="1"/>
    <x v="20"/>
    <n v="4"/>
    <s v="Life Sciences"/>
    <n v="1"/>
    <n v="1614"/>
    <n v="3"/>
    <x v="0"/>
    <n v="76"/>
    <n v="3"/>
    <x v="0"/>
    <x v="3"/>
    <n v="3"/>
    <s v="Married"/>
    <n v="4663"/>
    <n v="12421"/>
    <n v="9"/>
    <s v="Y"/>
    <x v="0"/>
    <n v="12"/>
    <n v="3"/>
    <n v="2"/>
    <n v="80"/>
    <n v="2"/>
    <n v="7"/>
    <n v="2"/>
    <n v="3"/>
    <x v="11"/>
    <n v="2"/>
    <n v="1"/>
    <n v="1"/>
  </r>
  <r>
    <n v="34"/>
    <x v="1"/>
    <s v="Travel_Frequently"/>
    <n v="426"/>
    <x v="1"/>
    <x v="17"/>
    <n v="4"/>
    <s v="Life Sciences"/>
    <n v="1"/>
    <n v="1615"/>
    <n v="3"/>
    <x v="1"/>
    <n v="42"/>
    <n v="4"/>
    <x v="0"/>
    <x v="3"/>
    <n v="4"/>
    <s v="Divorced"/>
    <n v="4724"/>
    <n v="17000"/>
    <n v="1"/>
    <s v="Y"/>
    <x v="1"/>
    <n v="13"/>
    <n v="3"/>
    <n v="1"/>
    <n v="80"/>
    <n v="1"/>
    <n v="9"/>
    <n v="3"/>
    <n v="3"/>
    <x v="7"/>
    <n v="7"/>
    <n v="7"/>
    <n v="2"/>
  </r>
  <r>
    <n v="49"/>
    <x v="1"/>
    <s v="Travel_Rarely"/>
    <n v="722"/>
    <x v="1"/>
    <x v="19"/>
    <n v="4"/>
    <s v="Life Sciences"/>
    <n v="1"/>
    <n v="1617"/>
    <n v="3"/>
    <x v="0"/>
    <n v="84"/>
    <n v="3"/>
    <x v="1"/>
    <x v="2"/>
    <n v="1"/>
    <s v="Married"/>
    <n v="3211"/>
    <n v="22102"/>
    <n v="1"/>
    <s v="Y"/>
    <x v="1"/>
    <n v="14"/>
    <n v="3"/>
    <n v="4"/>
    <n v="80"/>
    <n v="1"/>
    <n v="10"/>
    <n v="3"/>
    <n v="2"/>
    <x v="7"/>
    <n v="6"/>
    <n v="1"/>
    <n v="4"/>
  </r>
  <r>
    <n v="39"/>
    <x v="1"/>
    <s v="Travel_Rarely"/>
    <n v="1387"/>
    <x v="1"/>
    <x v="17"/>
    <n v="5"/>
    <s v="Medical"/>
    <n v="1"/>
    <n v="1618"/>
    <n v="2"/>
    <x v="1"/>
    <n v="76"/>
    <n v="3"/>
    <x v="0"/>
    <x v="3"/>
    <n v="1"/>
    <s v="Married"/>
    <n v="5377"/>
    <n v="3835"/>
    <n v="2"/>
    <s v="Y"/>
    <x v="1"/>
    <n v="13"/>
    <n v="3"/>
    <n v="4"/>
    <n v="80"/>
    <n v="3"/>
    <n v="10"/>
    <n v="3"/>
    <n v="3"/>
    <x v="5"/>
    <n v="7"/>
    <n v="7"/>
    <n v="7"/>
  </r>
  <r>
    <n v="27"/>
    <x v="1"/>
    <s v="Travel_Rarely"/>
    <n v="1302"/>
    <x v="1"/>
    <x v="10"/>
    <n v="3"/>
    <s v="Other"/>
    <n v="1"/>
    <n v="1619"/>
    <n v="4"/>
    <x v="1"/>
    <n v="67"/>
    <n v="2"/>
    <x v="1"/>
    <x v="2"/>
    <n v="1"/>
    <s v="Divorced"/>
    <n v="4066"/>
    <n v="16290"/>
    <n v="1"/>
    <s v="Y"/>
    <x v="1"/>
    <n v="11"/>
    <n v="3"/>
    <n v="1"/>
    <n v="80"/>
    <n v="2"/>
    <n v="7"/>
    <n v="3"/>
    <n v="3"/>
    <x v="5"/>
    <n v="7"/>
    <n v="0"/>
    <n v="7"/>
  </r>
  <r>
    <n v="35"/>
    <x v="1"/>
    <s v="Travel_Rarely"/>
    <n v="819"/>
    <x v="1"/>
    <x v="21"/>
    <n v="5"/>
    <s v="Life Sciences"/>
    <n v="1"/>
    <n v="1621"/>
    <n v="2"/>
    <x v="1"/>
    <n v="48"/>
    <n v="4"/>
    <x v="0"/>
    <x v="1"/>
    <n v="1"/>
    <s v="Married"/>
    <n v="5208"/>
    <n v="26312"/>
    <n v="1"/>
    <s v="Y"/>
    <x v="1"/>
    <n v="11"/>
    <n v="3"/>
    <n v="4"/>
    <n v="80"/>
    <n v="0"/>
    <n v="16"/>
    <n v="2"/>
    <n v="3"/>
    <x v="22"/>
    <n v="15"/>
    <n v="1"/>
    <n v="10"/>
  </r>
  <r>
    <n v="28"/>
    <x v="1"/>
    <s v="Travel_Rarely"/>
    <n v="580"/>
    <x v="1"/>
    <x v="6"/>
    <n v="3"/>
    <s v="Medical"/>
    <n v="1"/>
    <n v="1622"/>
    <n v="2"/>
    <x v="0"/>
    <n v="39"/>
    <n v="1"/>
    <x v="0"/>
    <x v="3"/>
    <n v="1"/>
    <s v="Divorced"/>
    <n v="4877"/>
    <n v="20460"/>
    <n v="0"/>
    <s v="Y"/>
    <x v="1"/>
    <n v="21"/>
    <n v="4"/>
    <n v="2"/>
    <n v="80"/>
    <n v="1"/>
    <n v="6"/>
    <n v="5"/>
    <n v="2"/>
    <x v="8"/>
    <n v="3"/>
    <n v="0"/>
    <n v="0"/>
  </r>
  <r>
    <n v="21"/>
    <x v="1"/>
    <s v="Travel_Rarely"/>
    <n v="546"/>
    <x v="1"/>
    <x v="12"/>
    <n v="1"/>
    <s v="Medical"/>
    <n v="1"/>
    <n v="1623"/>
    <n v="3"/>
    <x v="1"/>
    <n v="97"/>
    <n v="3"/>
    <x v="1"/>
    <x v="1"/>
    <n v="4"/>
    <s v="Single"/>
    <n v="3117"/>
    <n v="26009"/>
    <n v="1"/>
    <s v="Y"/>
    <x v="1"/>
    <n v="18"/>
    <n v="3"/>
    <n v="3"/>
    <n v="80"/>
    <n v="0"/>
    <n v="3"/>
    <n v="2"/>
    <n v="3"/>
    <x v="4"/>
    <n v="2"/>
    <n v="2"/>
    <n v="2"/>
  </r>
  <r>
    <n v="18"/>
    <x v="0"/>
    <s v="Travel_Frequently"/>
    <n v="544"/>
    <x v="0"/>
    <x v="3"/>
    <n v="2"/>
    <s v="Medical"/>
    <n v="1"/>
    <n v="1624"/>
    <n v="2"/>
    <x v="0"/>
    <n v="70"/>
    <n v="3"/>
    <x v="1"/>
    <x v="6"/>
    <n v="4"/>
    <s v="Single"/>
    <n v="1569"/>
    <n v="18420"/>
    <n v="1"/>
    <s v="Y"/>
    <x v="0"/>
    <n v="12"/>
    <n v="3"/>
    <n v="3"/>
    <n v="80"/>
    <n v="0"/>
    <n v="0"/>
    <n v="2"/>
    <n v="4"/>
    <x v="2"/>
    <n v="0"/>
    <n v="0"/>
    <n v="0"/>
  </r>
  <r>
    <n v="47"/>
    <x v="1"/>
    <s v="Travel_Rarely"/>
    <n v="1176"/>
    <x v="2"/>
    <x v="9"/>
    <n v="4"/>
    <s v="Life Sciences"/>
    <n v="1"/>
    <n v="1625"/>
    <n v="4"/>
    <x v="0"/>
    <n v="98"/>
    <n v="3"/>
    <x v="4"/>
    <x v="5"/>
    <n v="3"/>
    <s v="Married"/>
    <n v="19658"/>
    <n v="5220"/>
    <n v="3"/>
    <s v="Y"/>
    <x v="1"/>
    <n v="11"/>
    <n v="3"/>
    <n v="3"/>
    <n v="80"/>
    <n v="1"/>
    <n v="27"/>
    <n v="2"/>
    <n v="3"/>
    <x v="8"/>
    <n v="2"/>
    <n v="1"/>
    <n v="0"/>
  </r>
  <r>
    <n v="39"/>
    <x v="1"/>
    <s v="Travel_Rarely"/>
    <n v="170"/>
    <x v="1"/>
    <x v="3"/>
    <n v="2"/>
    <s v="Medical"/>
    <n v="1"/>
    <n v="1627"/>
    <n v="3"/>
    <x v="1"/>
    <n v="76"/>
    <n v="2"/>
    <x v="0"/>
    <x v="2"/>
    <n v="3"/>
    <s v="Divorced"/>
    <n v="3069"/>
    <n v="10302"/>
    <n v="0"/>
    <s v="Y"/>
    <x v="1"/>
    <n v="15"/>
    <n v="3"/>
    <n v="4"/>
    <n v="80"/>
    <n v="1"/>
    <n v="11"/>
    <n v="3"/>
    <n v="3"/>
    <x v="1"/>
    <n v="8"/>
    <n v="0"/>
    <n v="7"/>
  </r>
  <r>
    <n v="40"/>
    <x v="1"/>
    <s v="Travel_Rarely"/>
    <n v="884"/>
    <x v="1"/>
    <x v="8"/>
    <n v="3"/>
    <s v="Life Sciences"/>
    <n v="1"/>
    <n v="1628"/>
    <n v="1"/>
    <x v="0"/>
    <n v="80"/>
    <n v="2"/>
    <x v="2"/>
    <x v="3"/>
    <n v="3"/>
    <s v="Married"/>
    <n v="10435"/>
    <n v="25800"/>
    <n v="1"/>
    <s v="Y"/>
    <x v="1"/>
    <n v="13"/>
    <n v="3"/>
    <n v="4"/>
    <n v="80"/>
    <n v="2"/>
    <n v="18"/>
    <n v="2"/>
    <n v="3"/>
    <x v="29"/>
    <n v="15"/>
    <n v="14"/>
    <n v="12"/>
  </r>
  <r>
    <n v="35"/>
    <x v="1"/>
    <s v="Non-Travel"/>
    <n v="208"/>
    <x v="1"/>
    <x v="1"/>
    <n v="4"/>
    <s v="Life Sciences"/>
    <n v="1"/>
    <n v="1630"/>
    <n v="3"/>
    <x v="0"/>
    <n v="52"/>
    <n v="3"/>
    <x v="0"/>
    <x v="4"/>
    <n v="3"/>
    <s v="Married"/>
    <n v="4148"/>
    <n v="12250"/>
    <n v="1"/>
    <s v="Y"/>
    <x v="1"/>
    <n v="12"/>
    <n v="3"/>
    <n v="4"/>
    <n v="80"/>
    <n v="1"/>
    <n v="15"/>
    <n v="5"/>
    <n v="3"/>
    <x v="13"/>
    <n v="11"/>
    <n v="2"/>
    <n v="9"/>
  </r>
  <r>
    <n v="37"/>
    <x v="1"/>
    <s v="Travel_Rarely"/>
    <n v="671"/>
    <x v="1"/>
    <x v="10"/>
    <n v="3"/>
    <s v="Life Sciences"/>
    <n v="1"/>
    <n v="1631"/>
    <n v="3"/>
    <x v="1"/>
    <n v="85"/>
    <n v="3"/>
    <x v="0"/>
    <x v="3"/>
    <n v="3"/>
    <s v="Married"/>
    <n v="5768"/>
    <n v="26493"/>
    <n v="3"/>
    <s v="Y"/>
    <x v="1"/>
    <n v="17"/>
    <n v="3"/>
    <n v="1"/>
    <n v="80"/>
    <n v="3"/>
    <n v="9"/>
    <n v="2"/>
    <n v="2"/>
    <x v="9"/>
    <n v="3"/>
    <n v="0"/>
    <n v="2"/>
  </r>
  <r>
    <n v="39"/>
    <x v="1"/>
    <s v="Travel_Frequently"/>
    <n v="711"/>
    <x v="1"/>
    <x v="18"/>
    <n v="3"/>
    <s v="Medical"/>
    <n v="1"/>
    <n v="1633"/>
    <n v="1"/>
    <x v="0"/>
    <n v="81"/>
    <n v="3"/>
    <x v="0"/>
    <x v="3"/>
    <n v="3"/>
    <s v="Single"/>
    <n v="5042"/>
    <n v="3140"/>
    <n v="0"/>
    <s v="Y"/>
    <x v="1"/>
    <n v="13"/>
    <n v="3"/>
    <n v="4"/>
    <n v="80"/>
    <n v="0"/>
    <n v="10"/>
    <n v="2"/>
    <n v="1"/>
    <x v="7"/>
    <n v="2"/>
    <n v="3"/>
    <n v="8"/>
  </r>
  <r>
    <n v="45"/>
    <x v="1"/>
    <s v="Travel_Rarely"/>
    <n v="1329"/>
    <x v="1"/>
    <x v="2"/>
    <n v="2"/>
    <s v="Other"/>
    <n v="1"/>
    <n v="1635"/>
    <n v="4"/>
    <x v="0"/>
    <n v="59"/>
    <n v="2"/>
    <x v="0"/>
    <x v="3"/>
    <n v="4"/>
    <s v="Divorced"/>
    <n v="5770"/>
    <n v="5388"/>
    <n v="1"/>
    <s v="Y"/>
    <x v="1"/>
    <n v="19"/>
    <n v="3"/>
    <n v="1"/>
    <n v="80"/>
    <n v="2"/>
    <n v="10"/>
    <n v="3"/>
    <n v="3"/>
    <x v="1"/>
    <n v="7"/>
    <n v="3"/>
    <n v="9"/>
  </r>
  <r>
    <n v="38"/>
    <x v="1"/>
    <s v="Travel_Rarely"/>
    <n v="397"/>
    <x v="1"/>
    <x v="2"/>
    <n v="2"/>
    <s v="Medical"/>
    <n v="1"/>
    <n v="1638"/>
    <n v="4"/>
    <x v="0"/>
    <n v="54"/>
    <n v="2"/>
    <x v="2"/>
    <x v="3"/>
    <n v="3"/>
    <s v="Married"/>
    <n v="7756"/>
    <n v="14199"/>
    <n v="3"/>
    <s v="Y"/>
    <x v="0"/>
    <n v="19"/>
    <n v="3"/>
    <n v="4"/>
    <n v="80"/>
    <n v="1"/>
    <n v="10"/>
    <n v="6"/>
    <n v="4"/>
    <x v="8"/>
    <n v="4"/>
    <n v="0"/>
    <n v="2"/>
  </r>
  <r>
    <n v="35"/>
    <x v="0"/>
    <s v="Travel_Rarely"/>
    <n v="737"/>
    <x v="0"/>
    <x v="17"/>
    <n v="3"/>
    <s v="Medical"/>
    <n v="1"/>
    <n v="1639"/>
    <n v="4"/>
    <x v="1"/>
    <n v="55"/>
    <n v="2"/>
    <x v="2"/>
    <x v="0"/>
    <n v="1"/>
    <s v="Married"/>
    <n v="10306"/>
    <n v="21530"/>
    <n v="9"/>
    <s v="Y"/>
    <x v="1"/>
    <n v="17"/>
    <n v="3"/>
    <n v="3"/>
    <n v="80"/>
    <n v="0"/>
    <n v="15"/>
    <n v="3"/>
    <n v="3"/>
    <x v="20"/>
    <n v="12"/>
    <n v="6"/>
    <n v="0"/>
  </r>
  <r>
    <n v="37"/>
    <x v="1"/>
    <s v="Travel_Rarely"/>
    <n v="1470"/>
    <x v="1"/>
    <x v="17"/>
    <n v="3"/>
    <s v="Medical"/>
    <n v="1"/>
    <n v="1640"/>
    <n v="2"/>
    <x v="0"/>
    <n v="71"/>
    <n v="3"/>
    <x v="1"/>
    <x v="1"/>
    <n v="2"/>
    <s v="Married"/>
    <n v="3936"/>
    <n v="9953"/>
    <n v="1"/>
    <s v="Y"/>
    <x v="1"/>
    <n v="11"/>
    <n v="3"/>
    <n v="1"/>
    <n v="80"/>
    <n v="1"/>
    <n v="8"/>
    <n v="2"/>
    <n v="1"/>
    <x v="3"/>
    <n v="4"/>
    <n v="7"/>
    <n v="7"/>
  </r>
  <r>
    <n v="40"/>
    <x v="1"/>
    <s v="Travel_Rarely"/>
    <n v="448"/>
    <x v="1"/>
    <x v="7"/>
    <n v="3"/>
    <s v="Life Sciences"/>
    <n v="1"/>
    <n v="1641"/>
    <n v="3"/>
    <x v="0"/>
    <n v="84"/>
    <n v="3"/>
    <x v="2"/>
    <x v="3"/>
    <n v="4"/>
    <s v="Single"/>
    <n v="7945"/>
    <n v="19948"/>
    <n v="6"/>
    <s v="Y"/>
    <x v="0"/>
    <n v="15"/>
    <n v="3"/>
    <n v="4"/>
    <n v="80"/>
    <n v="0"/>
    <n v="18"/>
    <n v="2"/>
    <n v="2"/>
    <x v="9"/>
    <n v="2"/>
    <n v="3"/>
    <n v="3"/>
  </r>
  <r>
    <n v="44"/>
    <x v="1"/>
    <s v="Travel_Frequently"/>
    <n v="602"/>
    <x v="2"/>
    <x v="0"/>
    <n v="5"/>
    <s v="Human Resources"/>
    <n v="1"/>
    <n v="1642"/>
    <n v="1"/>
    <x v="1"/>
    <n v="37"/>
    <n v="3"/>
    <x v="0"/>
    <x v="8"/>
    <n v="4"/>
    <s v="Married"/>
    <n v="5743"/>
    <n v="10503"/>
    <n v="4"/>
    <s v="Y"/>
    <x v="0"/>
    <n v="11"/>
    <n v="3"/>
    <n v="3"/>
    <n v="80"/>
    <n v="0"/>
    <n v="14"/>
    <n v="3"/>
    <n v="3"/>
    <x v="1"/>
    <n v="7"/>
    <n v="0"/>
    <n v="2"/>
  </r>
  <r>
    <n v="48"/>
    <x v="1"/>
    <s v="Travel_Frequently"/>
    <n v="365"/>
    <x v="1"/>
    <x v="18"/>
    <n v="5"/>
    <s v="Medical"/>
    <n v="1"/>
    <n v="1644"/>
    <n v="3"/>
    <x v="1"/>
    <n v="89"/>
    <n v="2"/>
    <x v="3"/>
    <x v="5"/>
    <n v="4"/>
    <s v="Married"/>
    <n v="15202"/>
    <n v="5602"/>
    <n v="2"/>
    <s v="Y"/>
    <x v="1"/>
    <n v="25"/>
    <n v="4"/>
    <n v="2"/>
    <n v="80"/>
    <n v="1"/>
    <n v="23"/>
    <n v="3"/>
    <n v="3"/>
    <x v="4"/>
    <n v="2"/>
    <n v="2"/>
    <n v="2"/>
  </r>
  <r>
    <n v="35"/>
    <x v="0"/>
    <s v="Travel_Rarely"/>
    <n v="763"/>
    <x v="0"/>
    <x v="8"/>
    <n v="2"/>
    <s v="Medical"/>
    <n v="1"/>
    <n v="1645"/>
    <n v="1"/>
    <x v="1"/>
    <n v="59"/>
    <n v="1"/>
    <x v="0"/>
    <x v="0"/>
    <n v="4"/>
    <s v="Divorced"/>
    <n v="5440"/>
    <n v="22098"/>
    <n v="6"/>
    <s v="Y"/>
    <x v="0"/>
    <n v="14"/>
    <n v="3"/>
    <n v="4"/>
    <n v="80"/>
    <n v="2"/>
    <n v="7"/>
    <n v="2"/>
    <n v="2"/>
    <x v="4"/>
    <n v="2"/>
    <n v="2"/>
    <n v="2"/>
  </r>
  <r>
    <n v="24"/>
    <x v="1"/>
    <s v="Travel_Frequently"/>
    <n v="567"/>
    <x v="1"/>
    <x v="2"/>
    <n v="1"/>
    <s v="Technical Degree"/>
    <n v="1"/>
    <n v="1646"/>
    <n v="1"/>
    <x v="0"/>
    <n v="32"/>
    <n v="3"/>
    <x v="1"/>
    <x v="1"/>
    <n v="4"/>
    <s v="Single"/>
    <n v="3760"/>
    <n v="17218"/>
    <n v="1"/>
    <s v="Y"/>
    <x v="0"/>
    <n v="13"/>
    <n v="3"/>
    <n v="3"/>
    <n v="80"/>
    <n v="0"/>
    <n v="6"/>
    <n v="2"/>
    <n v="3"/>
    <x v="0"/>
    <n v="3"/>
    <n v="1"/>
    <n v="3"/>
  </r>
  <r>
    <n v="27"/>
    <x v="1"/>
    <s v="Travel_Rarely"/>
    <n v="486"/>
    <x v="1"/>
    <x v="1"/>
    <n v="3"/>
    <s v="Medical"/>
    <n v="1"/>
    <n v="1647"/>
    <n v="2"/>
    <x v="0"/>
    <n v="86"/>
    <n v="4"/>
    <x v="1"/>
    <x v="1"/>
    <n v="3"/>
    <s v="Married"/>
    <n v="3517"/>
    <n v="22490"/>
    <n v="7"/>
    <s v="Y"/>
    <x v="1"/>
    <n v="17"/>
    <n v="3"/>
    <n v="1"/>
    <n v="80"/>
    <n v="0"/>
    <n v="5"/>
    <n v="0"/>
    <n v="3"/>
    <x v="11"/>
    <n v="2"/>
    <n v="0"/>
    <n v="2"/>
  </r>
  <r>
    <n v="27"/>
    <x v="1"/>
    <s v="Travel_Frequently"/>
    <n v="591"/>
    <x v="1"/>
    <x v="2"/>
    <n v="3"/>
    <s v="Medical"/>
    <n v="1"/>
    <n v="1648"/>
    <n v="4"/>
    <x v="1"/>
    <n v="87"/>
    <n v="3"/>
    <x v="1"/>
    <x v="1"/>
    <n v="4"/>
    <s v="Single"/>
    <n v="2580"/>
    <n v="6297"/>
    <n v="2"/>
    <s v="Y"/>
    <x v="1"/>
    <n v="13"/>
    <n v="3"/>
    <n v="3"/>
    <n v="80"/>
    <n v="0"/>
    <n v="6"/>
    <n v="0"/>
    <n v="2"/>
    <x v="9"/>
    <n v="2"/>
    <n v="1"/>
    <n v="2"/>
  </r>
  <r>
    <n v="40"/>
    <x v="0"/>
    <s v="Travel_Rarely"/>
    <n v="1329"/>
    <x v="1"/>
    <x v="15"/>
    <n v="3"/>
    <s v="Life Sciences"/>
    <n v="1"/>
    <n v="1649"/>
    <n v="1"/>
    <x v="1"/>
    <n v="73"/>
    <n v="3"/>
    <x v="1"/>
    <x v="2"/>
    <n v="1"/>
    <s v="Single"/>
    <n v="2166"/>
    <n v="3339"/>
    <n v="3"/>
    <s v="Y"/>
    <x v="0"/>
    <n v="14"/>
    <n v="3"/>
    <n v="2"/>
    <n v="80"/>
    <n v="0"/>
    <n v="10"/>
    <n v="3"/>
    <n v="1"/>
    <x v="9"/>
    <n v="2"/>
    <n v="0"/>
    <n v="3"/>
  </r>
  <r>
    <n v="29"/>
    <x v="1"/>
    <s v="Travel_Rarely"/>
    <n v="469"/>
    <x v="0"/>
    <x v="17"/>
    <n v="3"/>
    <s v="Medical"/>
    <n v="1"/>
    <n v="1650"/>
    <n v="3"/>
    <x v="1"/>
    <n v="42"/>
    <n v="2"/>
    <x v="0"/>
    <x v="0"/>
    <n v="3"/>
    <s v="Single"/>
    <n v="5869"/>
    <n v="23413"/>
    <n v="9"/>
    <s v="Y"/>
    <x v="1"/>
    <n v="11"/>
    <n v="3"/>
    <n v="3"/>
    <n v="80"/>
    <n v="0"/>
    <n v="8"/>
    <n v="2"/>
    <n v="3"/>
    <x v="8"/>
    <n v="2"/>
    <n v="1"/>
    <n v="4"/>
  </r>
  <r>
    <n v="36"/>
    <x v="1"/>
    <s v="Travel_Rarely"/>
    <n v="711"/>
    <x v="1"/>
    <x v="12"/>
    <n v="4"/>
    <s v="Life Sciences"/>
    <n v="1"/>
    <n v="1651"/>
    <n v="2"/>
    <x v="0"/>
    <n v="42"/>
    <n v="3"/>
    <x v="2"/>
    <x v="4"/>
    <n v="1"/>
    <s v="Married"/>
    <n v="8008"/>
    <n v="22792"/>
    <n v="4"/>
    <s v="Y"/>
    <x v="1"/>
    <n v="12"/>
    <n v="3"/>
    <n v="3"/>
    <n v="80"/>
    <n v="2"/>
    <n v="9"/>
    <n v="6"/>
    <n v="3"/>
    <x v="11"/>
    <n v="2"/>
    <n v="0"/>
    <n v="2"/>
  </r>
  <r>
    <n v="25"/>
    <x v="1"/>
    <s v="Travel_Frequently"/>
    <n v="772"/>
    <x v="1"/>
    <x v="2"/>
    <n v="1"/>
    <s v="Life Sciences"/>
    <n v="1"/>
    <n v="1653"/>
    <n v="4"/>
    <x v="1"/>
    <n v="77"/>
    <n v="4"/>
    <x v="0"/>
    <x v="3"/>
    <n v="3"/>
    <s v="Divorced"/>
    <n v="5206"/>
    <n v="4973"/>
    <n v="1"/>
    <s v="Y"/>
    <x v="1"/>
    <n v="17"/>
    <n v="3"/>
    <n v="3"/>
    <n v="80"/>
    <n v="2"/>
    <n v="7"/>
    <n v="6"/>
    <n v="3"/>
    <x v="5"/>
    <n v="7"/>
    <n v="0"/>
    <n v="7"/>
  </r>
  <r>
    <n v="39"/>
    <x v="1"/>
    <s v="Travel_Rarely"/>
    <n v="492"/>
    <x v="1"/>
    <x v="20"/>
    <n v="3"/>
    <s v="Medical"/>
    <n v="1"/>
    <n v="1654"/>
    <n v="4"/>
    <x v="1"/>
    <n v="66"/>
    <n v="3"/>
    <x v="0"/>
    <x v="3"/>
    <n v="2"/>
    <s v="Married"/>
    <n v="5295"/>
    <n v="7693"/>
    <n v="4"/>
    <s v="Y"/>
    <x v="1"/>
    <n v="21"/>
    <n v="4"/>
    <n v="3"/>
    <n v="80"/>
    <n v="0"/>
    <n v="7"/>
    <n v="3"/>
    <n v="3"/>
    <x v="8"/>
    <n v="4"/>
    <n v="1"/>
    <n v="0"/>
  </r>
  <r>
    <n v="49"/>
    <x v="1"/>
    <s v="Travel_Rarely"/>
    <n v="301"/>
    <x v="1"/>
    <x v="23"/>
    <n v="4"/>
    <s v="Other"/>
    <n v="1"/>
    <n v="1655"/>
    <n v="1"/>
    <x v="0"/>
    <n v="72"/>
    <n v="3"/>
    <x v="3"/>
    <x v="7"/>
    <n v="2"/>
    <s v="Married"/>
    <n v="16413"/>
    <n v="3498"/>
    <n v="3"/>
    <s v="Y"/>
    <x v="1"/>
    <n v="16"/>
    <n v="3"/>
    <n v="2"/>
    <n v="80"/>
    <n v="2"/>
    <n v="27"/>
    <n v="2"/>
    <n v="3"/>
    <x v="9"/>
    <n v="2"/>
    <n v="1"/>
    <n v="2"/>
  </r>
  <r>
    <n v="50"/>
    <x v="1"/>
    <s v="Travel_Rarely"/>
    <n v="813"/>
    <x v="1"/>
    <x v="27"/>
    <n v="5"/>
    <s v="Life Sciences"/>
    <n v="1"/>
    <n v="1656"/>
    <n v="4"/>
    <x v="0"/>
    <n v="50"/>
    <n v="2"/>
    <x v="2"/>
    <x v="7"/>
    <n v="1"/>
    <s v="Divorced"/>
    <n v="13269"/>
    <n v="21981"/>
    <n v="5"/>
    <s v="Y"/>
    <x v="1"/>
    <n v="15"/>
    <n v="3"/>
    <n v="3"/>
    <n v="80"/>
    <n v="3"/>
    <n v="19"/>
    <n v="3"/>
    <n v="3"/>
    <x v="13"/>
    <n v="11"/>
    <n v="1"/>
    <n v="11"/>
  </r>
  <r>
    <n v="20"/>
    <x v="1"/>
    <s v="Travel_Rarely"/>
    <n v="1141"/>
    <x v="0"/>
    <x v="2"/>
    <n v="3"/>
    <s v="Medical"/>
    <n v="1"/>
    <n v="1657"/>
    <n v="3"/>
    <x v="0"/>
    <n v="31"/>
    <n v="3"/>
    <x v="1"/>
    <x v="6"/>
    <n v="3"/>
    <s v="Single"/>
    <n v="2783"/>
    <n v="13251"/>
    <n v="1"/>
    <s v="Y"/>
    <x v="1"/>
    <n v="19"/>
    <n v="3"/>
    <n v="1"/>
    <n v="80"/>
    <n v="0"/>
    <n v="2"/>
    <n v="3"/>
    <n v="3"/>
    <x v="4"/>
    <n v="2"/>
    <n v="2"/>
    <n v="2"/>
  </r>
  <r>
    <n v="34"/>
    <x v="1"/>
    <s v="Travel_Rarely"/>
    <n v="1130"/>
    <x v="1"/>
    <x v="3"/>
    <n v="3"/>
    <s v="Life Sciences"/>
    <n v="1"/>
    <n v="1658"/>
    <n v="4"/>
    <x v="0"/>
    <n v="66"/>
    <n v="3"/>
    <x v="0"/>
    <x v="1"/>
    <n v="2"/>
    <s v="Divorced"/>
    <n v="5433"/>
    <n v="19332"/>
    <n v="1"/>
    <s v="Y"/>
    <x v="1"/>
    <n v="12"/>
    <n v="3"/>
    <n v="3"/>
    <n v="80"/>
    <n v="1"/>
    <n v="11"/>
    <n v="2"/>
    <n v="3"/>
    <x v="19"/>
    <n v="8"/>
    <n v="7"/>
    <n v="9"/>
  </r>
  <r>
    <n v="36"/>
    <x v="1"/>
    <s v="Travel_Rarely"/>
    <n v="311"/>
    <x v="1"/>
    <x v="15"/>
    <n v="3"/>
    <s v="Life Sciences"/>
    <n v="1"/>
    <n v="1659"/>
    <n v="1"/>
    <x v="1"/>
    <n v="77"/>
    <n v="3"/>
    <x v="1"/>
    <x v="2"/>
    <n v="2"/>
    <s v="Single"/>
    <n v="2013"/>
    <n v="10950"/>
    <n v="2"/>
    <s v="Y"/>
    <x v="1"/>
    <n v="11"/>
    <n v="3"/>
    <n v="3"/>
    <n v="80"/>
    <n v="0"/>
    <n v="15"/>
    <n v="4"/>
    <n v="3"/>
    <x v="9"/>
    <n v="3"/>
    <n v="1"/>
    <n v="3"/>
  </r>
  <r>
    <n v="49"/>
    <x v="1"/>
    <s v="Travel_Rarely"/>
    <n v="465"/>
    <x v="1"/>
    <x v="16"/>
    <n v="1"/>
    <s v="Life Sciences"/>
    <n v="1"/>
    <n v="1661"/>
    <n v="3"/>
    <x v="0"/>
    <n v="41"/>
    <n v="2"/>
    <x v="3"/>
    <x v="4"/>
    <n v="3"/>
    <s v="Married"/>
    <n v="13966"/>
    <n v="11652"/>
    <n v="2"/>
    <s v="Y"/>
    <x v="0"/>
    <n v="19"/>
    <n v="3"/>
    <n v="2"/>
    <n v="80"/>
    <n v="1"/>
    <n v="30"/>
    <n v="3"/>
    <n v="3"/>
    <x v="15"/>
    <n v="11"/>
    <n v="2"/>
    <n v="12"/>
  </r>
  <r>
    <n v="36"/>
    <x v="1"/>
    <s v="Non-Travel"/>
    <n v="894"/>
    <x v="1"/>
    <x v="0"/>
    <n v="4"/>
    <s v="Medical"/>
    <n v="1"/>
    <n v="1662"/>
    <n v="4"/>
    <x v="0"/>
    <n v="33"/>
    <n v="2"/>
    <x v="0"/>
    <x v="3"/>
    <n v="3"/>
    <s v="Married"/>
    <n v="4374"/>
    <n v="15411"/>
    <n v="0"/>
    <s v="Y"/>
    <x v="1"/>
    <n v="15"/>
    <n v="3"/>
    <n v="3"/>
    <n v="80"/>
    <n v="0"/>
    <n v="4"/>
    <n v="6"/>
    <n v="3"/>
    <x v="11"/>
    <n v="2"/>
    <n v="1"/>
    <n v="2"/>
  </r>
  <r>
    <n v="36"/>
    <x v="1"/>
    <s v="Travel_Rarely"/>
    <n v="1040"/>
    <x v="1"/>
    <x v="3"/>
    <n v="2"/>
    <s v="Life Sciences"/>
    <n v="1"/>
    <n v="1664"/>
    <n v="4"/>
    <x v="1"/>
    <n v="79"/>
    <n v="4"/>
    <x v="0"/>
    <x v="4"/>
    <n v="1"/>
    <s v="Divorced"/>
    <n v="6842"/>
    <n v="26308"/>
    <n v="6"/>
    <s v="Y"/>
    <x v="1"/>
    <n v="20"/>
    <n v="4"/>
    <n v="1"/>
    <n v="80"/>
    <n v="1"/>
    <n v="13"/>
    <n v="3"/>
    <n v="3"/>
    <x v="8"/>
    <n v="4"/>
    <n v="0"/>
    <n v="4"/>
  </r>
  <r>
    <n v="54"/>
    <x v="1"/>
    <s v="Travel_Rarely"/>
    <n v="584"/>
    <x v="1"/>
    <x v="23"/>
    <n v="5"/>
    <s v="Medical"/>
    <n v="1"/>
    <n v="1665"/>
    <n v="2"/>
    <x v="0"/>
    <n v="91"/>
    <n v="3"/>
    <x v="3"/>
    <x v="5"/>
    <n v="3"/>
    <s v="Married"/>
    <n v="17426"/>
    <n v="18685"/>
    <n v="3"/>
    <s v="Y"/>
    <x v="1"/>
    <n v="25"/>
    <n v="4"/>
    <n v="3"/>
    <n v="80"/>
    <n v="1"/>
    <n v="36"/>
    <n v="6"/>
    <n v="3"/>
    <x v="1"/>
    <n v="8"/>
    <n v="4"/>
    <n v="7"/>
  </r>
  <r>
    <n v="43"/>
    <x v="1"/>
    <s v="Travel_Rarely"/>
    <n v="1291"/>
    <x v="1"/>
    <x v="8"/>
    <n v="2"/>
    <s v="Life Sciences"/>
    <n v="1"/>
    <n v="1666"/>
    <n v="3"/>
    <x v="1"/>
    <n v="65"/>
    <n v="2"/>
    <x v="3"/>
    <x v="7"/>
    <n v="3"/>
    <s v="Married"/>
    <n v="17603"/>
    <n v="3525"/>
    <n v="1"/>
    <s v="Y"/>
    <x v="1"/>
    <n v="24"/>
    <n v="4"/>
    <n v="1"/>
    <n v="80"/>
    <n v="1"/>
    <n v="14"/>
    <n v="3"/>
    <n v="3"/>
    <x v="13"/>
    <n v="10"/>
    <n v="6"/>
    <n v="11"/>
  </r>
  <r>
    <n v="35"/>
    <x v="0"/>
    <s v="Travel_Frequently"/>
    <n v="880"/>
    <x v="0"/>
    <x v="20"/>
    <n v="4"/>
    <s v="Other"/>
    <n v="1"/>
    <n v="1667"/>
    <n v="4"/>
    <x v="1"/>
    <n v="36"/>
    <n v="3"/>
    <x v="0"/>
    <x v="0"/>
    <n v="4"/>
    <s v="Single"/>
    <n v="4581"/>
    <n v="10414"/>
    <n v="3"/>
    <s v="Y"/>
    <x v="0"/>
    <n v="24"/>
    <n v="4"/>
    <n v="1"/>
    <n v="80"/>
    <n v="0"/>
    <n v="13"/>
    <n v="2"/>
    <n v="4"/>
    <x v="19"/>
    <n v="9"/>
    <n v="6"/>
    <n v="7"/>
  </r>
  <r>
    <n v="38"/>
    <x v="1"/>
    <s v="Travel_Frequently"/>
    <n v="1189"/>
    <x v="1"/>
    <x v="0"/>
    <n v="3"/>
    <s v="Life Sciences"/>
    <n v="1"/>
    <n v="1668"/>
    <n v="4"/>
    <x v="1"/>
    <n v="90"/>
    <n v="3"/>
    <x v="0"/>
    <x v="1"/>
    <n v="4"/>
    <s v="Married"/>
    <n v="4735"/>
    <n v="9867"/>
    <n v="7"/>
    <s v="Y"/>
    <x v="1"/>
    <n v="15"/>
    <n v="3"/>
    <n v="4"/>
    <n v="80"/>
    <n v="2"/>
    <n v="19"/>
    <n v="4"/>
    <n v="4"/>
    <x v="20"/>
    <n v="11"/>
    <n v="2"/>
    <n v="9"/>
  </r>
  <r>
    <n v="29"/>
    <x v="1"/>
    <s v="Travel_Rarely"/>
    <n v="991"/>
    <x v="0"/>
    <x v="12"/>
    <n v="3"/>
    <s v="Medical"/>
    <n v="1"/>
    <n v="1669"/>
    <n v="1"/>
    <x v="1"/>
    <n v="43"/>
    <n v="2"/>
    <x v="0"/>
    <x v="0"/>
    <n v="2"/>
    <s v="Divorced"/>
    <n v="4187"/>
    <n v="3356"/>
    <n v="1"/>
    <s v="Y"/>
    <x v="0"/>
    <n v="13"/>
    <n v="3"/>
    <n v="2"/>
    <n v="80"/>
    <n v="1"/>
    <n v="10"/>
    <n v="3"/>
    <n v="2"/>
    <x v="1"/>
    <n v="0"/>
    <n v="0"/>
    <n v="9"/>
  </r>
  <r>
    <n v="33"/>
    <x v="1"/>
    <s v="Travel_Rarely"/>
    <n v="392"/>
    <x v="0"/>
    <x v="2"/>
    <n v="4"/>
    <s v="Medical"/>
    <n v="1"/>
    <n v="1670"/>
    <n v="4"/>
    <x v="1"/>
    <n v="93"/>
    <n v="3"/>
    <x v="0"/>
    <x v="0"/>
    <n v="4"/>
    <s v="Divorced"/>
    <n v="5505"/>
    <n v="3921"/>
    <n v="1"/>
    <s v="Y"/>
    <x v="1"/>
    <n v="14"/>
    <n v="3"/>
    <n v="3"/>
    <n v="80"/>
    <n v="2"/>
    <n v="6"/>
    <n v="5"/>
    <n v="3"/>
    <x v="0"/>
    <n v="2"/>
    <n v="0"/>
    <n v="4"/>
  </r>
  <r>
    <n v="32"/>
    <x v="1"/>
    <s v="Travel_Rarely"/>
    <n v="977"/>
    <x v="1"/>
    <x v="2"/>
    <n v="3"/>
    <s v="Medical"/>
    <n v="1"/>
    <n v="1671"/>
    <n v="4"/>
    <x v="1"/>
    <n v="45"/>
    <n v="3"/>
    <x v="0"/>
    <x v="1"/>
    <n v="2"/>
    <s v="Divorced"/>
    <n v="5470"/>
    <n v="25518"/>
    <n v="0"/>
    <s v="Y"/>
    <x v="1"/>
    <n v="13"/>
    <n v="3"/>
    <n v="3"/>
    <n v="80"/>
    <n v="2"/>
    <n v="10"/>
    <n v="4"/>
    <n v="2"/>
    <x v="7"/>
    <n v="5"/>
    <n v="1"/>
    <n v="6"/>
  </r>
  <r>
    <n v="31"/>
    <x v="1"/>
    <s v="Travel_Rarely"/>
    <n v="1112"/>
    <x v="0"/>
    <x v="12"/>
    <n v="4"/>
    <s v="Life Sciences"/>
    <n v="1"/>
    <n v="1673"/>
    <n v="1"/>
    <x v="0"/>
    <n v="67"/>
    <n v="3"/>
    <x v="0"/>
    <x v="0"/>
    <n v="4"/>
    <s v="Married"/>
    <n v="5476"/>
    <n v="22589"/>
    <n v="1"/>
    <s v="Y"/>
    <x v="1"/>
    <n v="11"/>
    <n v="3"/>
    <n v="1"/>
    <n v="80"/>
    <n v="2"/>
    <n v="10"/>
    <n v="2"/>
    <n v="3"/>
    <x v="1"/>
    <n v="0"/>
    <n v="0"/>
    <n v="2"/>
  </r>
  <r>
    <n v="49"/>
    <x v="1"/>
    <s v="Travel_Rarely"/>
    <n v="464"/>
    <x v="1"/>
    <x v="7"/>
    <n v="3"/>
    <s v="Medical"/>
    <n v="1"/>
    <n v="1674"/>
    <n v="4"/>
    <x v="0"/>
    <n v="74"/>
    <n v="3"/>
    <x v="1"/>
    <x v="2"/>
    <n v="1"/>
    <s v="Divorced"/>
    <n v="2587"/>
    <n v="24941"/>
    <n v="4"/>
    <s v="Y"/>
    <x v="0"/>
    <n v="16"/>
    <n v="3"/>
    <n v="2"/>
    <n v="80"/>
    <n v="1"/>
    <n v="17"/>
    <n v="2"/>
    <n v="2"/>
    <x v="4"/>
    <n v="2"/>
    <n v="2"/>
    <n v="2"/>
  </r>
  <r>
    <n v="38"/>
    <x v="1"/>
    <s v="Travel_Frequently"/>
    <n v="148"/>
    <x v="1"/>
    <x v="2"/>
    <n v="3"/>
    <s v="Medical"/>
    <n v="1"/>
    <n v="1675"/>
    <n v="4"/>
    <x v="0"/>
    <n v="42"/>
    <n v="2"/>
    <x v="1"/>
    <x v="2"/>
    <n v="2"/>
    <s v="Single"/>
    <n v="2440"/>
    <n v="23826"/>
    <n v="1"/>
    <s v="Y"/>
    <x v="1"/>
    <n v="22"/>
    <n v="4"/>
    <n v="2"/>
    <n v="80"/>
    <n v="0"/>
    <n v="4"/>
    <n v="3"/>
    <n v="3"/>
    <x v="9"/>
    <n v="3"/>
    <n v="3"/>
    <n v="3"/>
  </r>
  <r>
    <n v="47"/>
    <x v="1"/>
    <s v="Travel_Rarely"/>
    <n v="1225"/>
    <x v="0"/>
    <x v="2"/>
    <n v="4"/>
    <s v="Life Sciences"/>
    <n v="1"/>
    <n v="1676"/>
    <n v="2"/>
    <x v="0"/>
    <n v="47"/>
    <n v="4"/>
    <x v="3"/>
    <x v="5"/>
    <n v="2"/>
    <s v="Divorced"/>
    <n v="15972"/>
    <n v="21086"/>
    <n v="6"/>
    <s v="Y"/>
    <x v="1"/>
    <n v="14"/>
    <n v="3"/>
    <n v="3"/>
    <n v="80"/>
    <n v="3"/>
    <n v="29"/>
    <n v="2"/>
    <n v="3"/>
    <x v="11"/>
    <n v="2"/>
    <n v="1"/>
    <n v="2"/>
  </r>
  <r>
    <n v="49"/>
    <x v="1"/>
    <s v="Travel_Rarely"/>
    <n v="809"/>
    <x v="1"/>
    <x v="0"/>
    <n v="3"/>
    <s v="Life Sciences"/>
    <n v="1"/>
    <n v="1677"/>
    <n v="3"/>
    <x v="1"/>
    <n v="36"/>
    <n v="3"/>
    <x v="3"/>
    <x v="5"/>
    <n v="3"/>
    <s v="Single"/>
    <n v="15379"/>
    <n v="22384"/>
    <n v="4"/>
    <s v="Y"/>
    <x v="1"/>
    <n v="14"/>
    <n v="3"/>
    <n v="1"/>
    <n v="80"/>
    <n v="0"/>
    <n v="23"/>
    <n v="2"/>
    <n v="3"/>
    <x v="3"/>
    <n v="7"/>
    <n v="0"/>
    <n v="0"/>
  </r>
  <r>
    <n v="41"/>
    <x v="1"/>
    <s v="Travel_Rarely"/>
    <n v="1206"/>
    <x v="0"/>
    <x v="5"/>
    <n v="2"/>
    <s v="Life Sciences"/>
    <n v="1"/>
    <n v="1678"/>
    <n v="4"/>
    <x v="1"/>
    <n v="80"/>
    <n v="3"/>
    <x v="2"/>
    <x v="0"/>
    <n v="3"/>
    <s v="Single"/>
    <n v="7082"/>
    <n v="11591"/>
    <n v="3"/>
    <s v="Y"/>
    <x v="0"/>
    <n v="16"/>
    <n v="3"/>
    <n v="4"/>
    <n v="80"/>
    <n v="0"/>
    <n v="21"/>
    <n v="2"/>
    <n v="3"/>
    <x v="4"/>
    <n v="0"/>
    <n v="0"/>
    <n v="2"/>
  </r>
  <r>
    <n v="20"/>
    <x v="1"/>
    <s v="Travel_Rarely"/>
    <n v="727"/>
    <x v="0"/>
    <x v="14"/>
    <n v="1"/>
    <s v="Life Sciences"/>
    <n v="1"/>
    <n v="1680"/>
    <n v="4"/>
    <x v="1"/>
    <n v="54"/>
    <n v="3"/>
    <x v="1"/>
    <x v="6"/>
    <n v="1"/>
    <s v="Single"/>
    <n v="2728"/>
    <n v="21082"/>
    <n v="1"/>
    <s v="Y"/>
    <x v="1"/>
    <n v="11"/>
    <n v="3"/>
    <n v="1"/>
    <n v="80"/>
    <n v="0"/>
    <n v="2"/>
    <n v="3"/>
    <n v="3"/>
    <x v="4"/>
    <n v="2"/>
    <n v="0"/>
    <n v="2"/>
  </r>
  <r>
    <n v="33"/>
    <x v="1"/>
    <s v="Non-Travel"/>
    <n v="530"/>
    <x v="0"/>
    <x v="7"/>
    <n v="3"/>
    <s v="Life Sciences"/>
    <n v="1"/>
    <n v="1681"/>
    <n v="3"/>
    <x v="0"/>
    <n v="36"/>
    <n v="3"/>
    <x v="0"/>
    <x v="0"/>
    <n v="4"/>
    <s v="Divorced"/>
    <n v="5368"/>
    <n v="16130"/>
    <n v="1"/>
    <s v="Y"/>
    <x v="0"/>
    <n v="25"/>
    <n v="4"/>
    <n v="3"/>
    <n v="80"/>
    <n v="1"/>
    <n v="7"/>
    <n v="2"/>
    <n v="3"/>
    <x v="0"/>
    <n v="5"/>
    <n v="1"/>
    <n v="2"/>
  </r>
  <r>
    <n v="36"/>
    <x v="1"/>
    <s v="Travel_Rarely"/>
    <n v="1351"/>
    <x v="1"/>
    <x v="9"/>
    <n v="4"/>
    <s v="Life Sciences"/>
    <n v="1"/>
    <n v="1682"/>
    <n v="1"/>
    <x v="1"/>
    <n v="80"/>
    <n v="3"/>
    <x v="0"/>
    <x v="4"/>
    <n v="3"/>
    <s v="Married"/>
    <n v="5347"/>
    <n v="7419"/>
    <n v="6"/>
    <s v="Y"/>
    <x v="1"/>
    <n v="14"/>
    <n v="3"/>
    <n v="2"/>
    <n v="80"/>
    <n v="2"/>
    <n v="10"/>
    <n v="2"/>
    <n v="2"/>
    <x v="11"/>
    <n v="2"/>
    <n v="0"/>
    <n v="2"/>
  </r>
  <r>
    <n v="44"/>
    <x v="1"/>
    <s v="Travel_Rarely"/>
    <n v="528"/>
    <x v="2"/>
    <x v="0"/>
    <n v="3"/>
    <s v="Life Sciences"/>
    <n v="1"/>
    <n v="1683"/>
    <n v="3"/>
    <x v="0"/>
    <n v="44"/>
    <n v="3"/>
    <x v="1"/>
    <x v="8"/>
    <n v="4"/>
    <s v="Divorced"/>
    <n v="3195"/>
    <n v="4167"/>
    <n v="4"/>
    <s v="Y"/>
    <x v="0"/>
    <n v="18"/>
    <n v="3"/>
    <n v="1"/>
    <n v="80"/>
    <n v="3"/>
    <n v="8"/>
    <n v="2"/>
    <n v="3"/>
    <x v="4"/>
    <n v="2"/>
    <n v="2"/>
    <n v="2"/>
  </r>
  <r>
    <n v="23"/>
    <x v="0"/>
    <s v="Travel_Rarely"/>
    <n v="1320"/>
    <x v="1"/>
    <x v="1"/>
    <n v="1"/>
    <s v="Medical"/>
    <n v="1"/>
    <n v="1684"/>
    <n v="4"/>
    <x v="1"/>
    <n v="93"/>
    <n v="2"/>
    <x v="1"/>
    <x v="2"/>
    <n v="3"/>
    <s v="Single"/>
    <n v="3989"/>
    <n v="20586"/>
    <n v="1"/>
    <s v="Y"/>
    <x v="0"/>
    <n v="11"/>
    <n v="3"/>
    <n v="1"/>
    <n v="80"/>
    <n v="0"/>
    <n v="5"/>
    <n v="2"/>
    <n v="3"/>
    <x v="8"/>
    <n v="4"/>
    <n v="1"/>
    <n v="2"/>
  </r>
  <r>
    <n v="38"/>
    <x v="1"/>
    <s v="Travel_Rarely"/>
    <n v="1495"/>
    <x v="1"/>
    <x v="18"/>
    <n v="2"/>
    <s v="Medical"/>
    <n v="1"/>
    <n v="1687"/>
    <n v="4"/>
    <x v="0"/>
    <n v="87"/>
    <n v="3"/>
    <x v="1"/>
    <x v="2"/>
    <n v="3"/>
    <s v="Married"/>
    <n v="3306"/>
    <n v="26176"/>
    <n v="7"/>
    <s v="Y"/>
    <x v="1"/>
    <n v="19"/>
    <n v="3"/>
    <n v="4"/>
    <n v="80"/>
    <n v="1"/>
    <n v="7"/>
    <n v="5"/>
    <n v="2"/>
    <x v="2"/>
    <n v="0"/>
    <n v="0"/>
    <n v="0"/>
  </r>
  <r>
    <n v="53"/>
    <x v="1"/>
    <s v="Travel_Rarely"/>
    <n v="1395"/>
    <x v="1"/>
    <x v="4"/>
    <n v="4"/>
    <s v="Medical"/>
    <n v="1"/>
    <n v="1689"/>
    <n v="2"/>
    <x v="1"/>
    <n v="48"/>
    <n v="4"/>
    <x v="2"/>
    <x v="4"/>
    <n v="4"/>
    <s v="Married"/>
    <n v="7005"/>
    <n v="3458"/>
    <n v="3"/>
    <s v="Y"/>
    <x v="1"/>
    <n v="15"/>
    <n v="3"/>
    <n v="3"/>
    <n v="80"/>
    <n v="0"/>
    <n v="11"/>
    <n v="2"/>
    <n v="3"/>
    <x v="9"/>
    <n v="3"/>
    <n v="1"/>
    <n v="2"/>
  </r>
  <r>
    <n v="48"/>
    <x v="0"/>
    <s v="Travel_Frequently"/>
    <n v="708"/>
    <x v="0"/>
    <x v="15"/>
    <n v="2"/>
    <s v="Medical"/>
    <n v="1"/>
    <n v="1691"/>
    <n v="4"/>
    <x v="0"/>
    <n v="95"/>
    <n v="3"/>
    <x v="1"/>
    <x v="6"/>
    <n v="3"/>
    <s v="Married"/>
    <n v="2655"/>
    <n v="11740"/>
    <n v="2"/>
    <s v="Y"/>
    <x v="0"/>
    <n v="11"/>
    <n v="3"/>
    <n v="3"/>
    <n v="80"/>
    <n v="2"/>
    <n v="19"/>
    <n v="3"/>
    <n v="3"/>
    <x v="7"/>
    <n v="7"/>
    <n v="7"/>
    <n v="7"/>
  </r>
  <r>
    <n v="32"/>
    <x v="0"/>
    <s v="Travel_Rarely"/>
    <n v="1259"/>
    <x v="1"/>
    <x v="2"/>
    <n v="4"/>
    <s v="Life Sciences"/>
    <n v="1"/>
    <n v="1692"/>
    <n v="4"/>
    <x v="1"/>
    <n v="95"/>
    <n v="3"/>
    <x v="1"/>
    <x v="2"/>
    <n v="2"/>
    <s v="Single"/>
    <n v="1393"/>
    <n v="24852"/>
    <n v="1"/>
    <s v="Y"/>
    <x v="1"/>
    <n v="12"/>
    <n v="3"/>
    <n v="1"/>
    <n v="80"/>
    <n v="0"/>
    <n v="1"/>
    <n v="2"/>
    <n v="3"/>
    <x v="6"/>
    <n v="0"/>
    <n v="0"/>
    <n v="0"/>
  </r>
  <r>
    <n v="26"/>
    <x v="1"/>
    <s v="Non-Travel"/>
    <n v="786"/>
    <x v="1"/>
    <x v="15"/>
    <n v="3"/>
    <s v="Medical"/>
    <n v="1"/>
    <n v="1693"/>
    <n v="4"/>
    <x v="1"/>
    <n v="76"/>
    <n v="3"/>
    <x v="1"/>
    <x v="2"/>
    <n v="4"/>
    <s v="Single"/>
    <n v="2570"/>
    <n v="11925"/>
    <n v="1"/>
    <s v="Y"/>
    <x v="1"/>
    <n v="20"/>
    <n v="4"/>
    <n v="3"/>
    <n v="80"/>
    <n v="0"/>
    <n v="7"/>
    <n v="5"/>
    <n v="3"/>
    <x v="5"/>
    <n v="7"/>
    <n v="5"/>
    <n v="7"/>
  </r>
  <r>
    <n v="55"/>
    <x v="1"/>
    <s v="Travel_Rarely"/>
    <n v="1441"/>
    <x v="1"/>
    <x v="23"/>
    <n v="3"/>
    <s v="Technical Degree"/>
    <n v="1"/>
    <n v="1694"/>
    <n v="1"/>
    <x v="1"/>
    <n v="94"/>
    <n v="2"/>
    <x v="1"/>
    <x v="1"/>
    <n v="2"/>
    <s v="Divorced"/>
    <n v="3537"/>
    <n v="23737"/>
    <n v="5"/>
    <s v="Y"/>
    <x v="1"/>
    <n v="12"/>
    <n v="3"/>
    <n v="4"/>
    <n v="80"/>
    <n v="1"/>
    <n v="8"/>
    <n v="1"/>
    <n v="3"/>
    <x v="9"/>
    <n v="2"/>
    <n v="1"/>
    <n v="2"/>
  </r>
  <r>
    <n v="34"/>
    <x v="1"/>
    <s v="Travel_Rarely"/>
    <n v="1157"/>
    <x v="1"/>
    <x v="12"/>
    <n v="2"/>
    <s v="Medical"/>
    <n v="1"/>
    <n v="1696"/>
    <n v="2"/>
    <x v="1"/>
    <n v="57"/>
    <n v="2"/>
    <x v="0"/>
    <x v="2"/>
    <n v="4"/>
    <s v="Married"/>
    <n v="3986"/>
    <n v="11912"/>
    <n v="1"/>
    <s v="Y"/>
    <x v="1"/>
    <n v="14"/>
    <n v="3"/>
    <n v="3"/>
    <n v="80"/>
    <n v="1"/>
    <n v="15"/>
    <n v="3"/>
    <n v="4"/>
    <x v="15"/>
    <n v="10"/>
    <n v="4"/>
    <n v="13"/>
  </r>
  <r>
    <n v="60"/>
    <x v="1"/>
    <s v="Travel_Rarely"/>
    <n v="370"/>
    <x v="1"/>
    <x v="0"/>
    <n v="4"/>
    <s v="Medical"/>
    <n v="1"/>
    <n v="1697"/>
    <n v="3"/>
    <x v="1"/>
    <n v="92"/>
    <n v="1"/>
    <x v="2"/>
    <x v="4"/>
    <n v="4"/>
    <s v="Divorced"/>
    <n v="10883"/>
    <n v="20467"/>
    <n v="3"/>
    <s v="Y"/>
    <x v="1"/>
    <n v="20"/>
    <n v="4"/>
    <n v="3"/>
    <n v="80"/>
    <n v="1"/>
    <n v="19"/>
    <n v="2"/>
    <n v="4"/>
    <x v="6"/>
    <n v="0"/>
    <n v="0"/>
    <n v="0"/>
  </r>
  <r>
    <n v="33"/>
    <x v="1"/>
    <s v="Travel_Rarely"/>
    <n v="267"/>
    <x v="1"/>
    <x v="11"/>
    <n v="3"/>
    <s v="Medical"/>
    <n v="1"/>
    <n v="1698"/>
    <n v="2"/>
    <x v="1"/>
    <n v="79"/>
    <n v="4"/>
    <x v="1"/>
    <x v="2"/>
    <n v="2"/>
    <s v="Married"/>
    <n v="2028"/>
    <n v="13637"/>
    <n v="1"/>
    <s v="Y"/>
    <x v="1"/>
    <n v="18"/>
    <n v="3"/>
    <n v="4"/>
    <n v="80"/>
    <n v="3"/>
    <n v="14"/>
    <n v="6"/>
    <n v="3"/>
    <x v="13"/>
    <n v="11"/>
    <n v="2"/>
    <n v="13"/>
  </r>
  <r>
    <n v="37"/>
    <x v="1"/>
    <s v="Travel_Frequently"/>
    <n v="1278"/>
    <x v="0"/>
    <x v="0"/>
    <n v="4"/>
    <s v="Medical"/>
    <n v="1"/>
    <n v="1700"/>
    <n v="3"/>
    <x v="1"/>
    <n v="31"/>
    <n v="1"/>
    <x v="0"/>
    <x v="0"/>
    <n v="4"/>
    <s v="Divorced"/>
    <n v="9525"/>
    <n v="7677"/>
    <n v="1"/>
    <s v="Y"/>
    <x v="1"/>
    <n v="14"/>
    <n v="3"/>
    <n v="3"/>
    <n v="80"/>
    <n v="2"/>
    <n v="6"/>
    <n v="2"/>
    <n v="2"/>
    <x v="0"/>
    <n v="3"/>
    <n v="1"/>
    <n v="3"/>
  </r>
  <r>
    <n v="34"/>
    <x v="1"/>
    <s v="Travel_Rarely"/>
    <n v="678"/>
    <x v="1"/>
    <x v="10"/>
    <n v="3"/>
    <s v="Life Sciences"/>
    <n v="1"/>
    <n v="1701"/>
    <n v="2"/>
    <x v="0"/>
    <n v="35"/>
    <n v="2"/>
    <x v="1"/>
    <x v="1"/>
    <n v="4"/>
    <s v="Married"/>
    <n v="2929"/>
    <n v="20338"/>
    <n v="1"/>
    <s v="Y"/>
    <x v="1"/>
    <n v="12"/>
    <n v="3"/>
    <n v="2"/>
    <n v="80"/>
    <n v="0"/>
    <n v="10"/>
    <n v="3"/>
    <n v="3"/>
    <x v="1"/>
    <n v="9"/>
    <n v="8"/>
    <n v="7"/>
  </r>
  <r>
    <n v="23"/>
    <x v="0"/>
    <s v="Travel_Rarely"/>
    <n v="427"/>
    <x v="0"/>
    <x v="15"/>
    <n v="3"/>
    <s v="Life Sciences"/>
    <n v="1"/>
    <n v="1702"/>
    <n v="3"/>
    <x v="1"/>
    <n v="99"/>
    <n v="3"/>
    <x v="1"/>
    <x v="6"/>
    <n v="4"/>
    <s v="Divorced"/>
    <n v="2275"/>
    <n v="25103"/>
    <n v="1"/>
    <s v="Y"/>
    <x v="0"/>
    <n v="21"/>
    <n v="4"/>
    <n v="2"/>
    <n v="80"/>
    <n v="1"/>
    <n v="3"/>
    <n v="2"/>
    <n v="3"/>
    <x v="11"/>
    <n v="2"/>
    <n v="0"/>
    <n v="2"/>
  </r>
  <r>
    <n v="44"/>
    <x v="1"/>
    <s v="Travel_Rarely"/>
    <n v="921"/>
    <x v="1"/>
    <x v="2"/>
    <n v="3"/>
    <s v="Life Sciences"/>
    <n v="1"/>
    <n v="1703"/>
    <n v="3"/>
    <x v="0"/>
    <n v="96"/>
    <n v="4"/>
    <x v="2"/>
    <x v="4"/>
    <n v="4"/>
    <s v="Married"/>
    <n v="7879"/>
    <n v="14810"/>
    <n v="1"/>
    <s v="Y"/>
    <x v="0"/>
    <n v="19"/>
    <n v="3"/>
    <n v="2"/>
    <n v="80"/>
    <n v="1"/>
    <n v="9"/>
    <n v="2"/>
    <n v="3"/>
    <x v="3"/>
    <n v="7"/>
    <n v="6"/>
    <n v="7"/>
  </r>
  <r>
    <n v="35"/>
    <x v="1"/>
    <s v="Travel_Frequently"/>
    <n v="146"/>
    <x v="1"/>
    <x v="2"/>
    <n v="4"/>
    <s v="Medical"/>
    <n v="1"/>
    <n v="1704"/>
    <n v="1"/>
    <x v="1"/>
    <n v="79"/>
    <n v="2"/>
    <x v="1"/>
    <x v="1"/>
    <n v="4"/>
    <s v="Single"/>
    <n v="4930"/>
    <n v="13970"/>
    <n v="0"/>
    <s v="Y"/>
    <x v="0"/>
    <n v="14"/>
    <n v="3"/>
    <n v="3"/>
    <n v="80"/>
    <n v="0"/>
    <n v="6"/>
    <n v="2"/>
    <n v="4"/>
    <x v="8"/>
    <n v="4"/>
    <n v="1"/>
    <n v="4"/>
  </r>
  <r>
    <n v="43"/>
    <x v="1"/>
    <s v="Travel_Rarely"/>
    <n v="1179"/>
    <x v="0"/>
    <x v="2"/>
    <n v="3"/>
    <s v="Medical"/>
    <n v="1"/>
    <n v="1706"/>
    <n v="4"/>
    <x v="1"/>
    <n v="73"/>
    <n v="3"/>
    <x v="0"/>
    <x v="0"/>
    <n v="4"/>
    <s v="Married"/>
    <n v="7847"/>
    <n v="6069"/>
    <n v="1"/>
    <s v="Y"/>
    <x v="0"/>
    <n v="17"/>
    <n v="3"/>
    <n v="1"/>
    <n v="80"/>
    <n v="1"/>
    <n v="10"/>
    <n v="3"/>
    <n v="3"/>
    <x v="1"/>
    <n v="9"/>
    <n v="8"/>
    <n v="8"/>
  </r>
  <r>
    <n v="24"/>
    <x v="1"/>
    <s v="Travel_Rarely"/>
    <n v="581"/>
    <x v="1"/>
    <x v="14"/>
    <n v="3"/>
    <s v="Medical"/>
    <n v="1"/>
    <n v="1707"/>
    <n v="3"/>
    <x v="1"/>
    <n v="62"/>
    <n v="4"/>
    <x v="1"/>
    <x v="1"/>
    <n v="3"/>
    <s v="Married"/>
    <n v="4401"/>
    <n v="17616"/>
    <n v="1"/>
    <s v="Y"/>
    <x v="1"/>
    <n v="16"/>
    <n v="3"/>
    <n v="4"/>
    <n v="80"/>
    <n v="1"/>
    <n v="5"/>
    <n v="1"/>
    <n v="3"/>
    <x v="8"/>
    <n v="3"/>
    <n v="0"/>
    <n v="4"/>
  </r>
  <r>
    <n v="41"/>
    <x v="1"/>
    <s v="Travel_Rarely"/>
    <n v="918"/>
    <x v="0"/>
    <x v="16"/>
    <n v="3"/>
    <s v="Marketing"/>
    <n v="1"/>
    <n v="1708"/>
    <n v="4"/>
    <x v="1"/>
    <n v="35"/>
    <n v="3"/>
    <x v="2"/>
    <x v="0"/>
    <n v="3"/>
    <s v="Single"/>
    <n v="9241"/>
    <n v="15869"/>
    <n v="1"/>
    <s v="Y"/>
    <x v="1"/>
    <n v="12"/>
    <n v="3"/>
    <n v="2"/>
    <n v="80"/>
    <n v="0"/>
    <n v="10"/>
    <n v="3"/>
    <n v="3"/>
    <x v="1"/>
    <n v="8"/>
    <n v="8"/>
    <n v="7"/>
  </r>
  <r>
    <n v="29"/>
    <x v="1"/>
    <s v="Travel_Rarely"/>
    <n v="1082"/>
    <x v="1"/>
    <x v="14"/>
    <n v="4"/>
    <s v="Medical"/>
    <n v="1"/>
    <n v="1709"/>
    <n v="4"/>
    <x v="0"/>
    <n v="43"/>
    <n v="3"/>
    <x v="1"/>
    <x v="2"/>
    <n v="3"/>
    <s v="Married"/>
    <n v="2974"/>
    <n v="25412"/>
    <n v="9"/>
    <s v="Y"/>
    <x v="1"/>
    <n v="17"/>
    <n v="3"/>
    <n v="3"/>
    <n v="80"/>
    <n v="1"/>
    <n v="9"/>
    <n v="2"/>
    <n v="3"/>
    <x v="8"/>
    <n v="3"/>
    <n v="1"/>
    <n v="2"/>
  </r>
  <r>
    <n v="36"/>
    <x v="1"/>
    <s v="Travel_Rarely"/>
    <n v="530"/>
    <x v="0"/>
    <x v="2"/>
    <n v="4"/>
    <s v="Life Sciences"/>
    <n v="1"/>
    <n v="1710"/>
    <n v="3"/>
    <x v="0"/>
    <n v="51"/>
    <n v="3"/>
    <x v="0"/>
    <x v="6"/>
    <n v="4"/>
    <s v="Single"/>
    <n v="4502"/>
    <n v="7439"/>
    <n v="3"/>
    <s v="Y"/>
    <x v="1"/>
    <n v="15"/>
    <n v="3"/>
    <n v="3"/>
    <n v="80"/>
    <n v="0"/>
    <n v="17"/>
    <n v="2"/>
    <n v="2"/>
    <x v="20"/>
    <n v="7"/>
    <n v="6"/>
    <n v="7"/>
  </r>
  <r>
    <n v="45"/>
    <x v="1"/>
    <s v="Non-Travel"/>
    <n v="1238"/>
    <x v="1"/>
    <x v="0"/>
    <n v="1"/>
    <s v="Life Sciences"/>
    <n v="1"/>
    <n v="1712"/>
    <n v="3"/>
    <x v="1"/>
    <n v="74"/>
    <n v="2"/>
    <x v="2"/>
    <x v="4"/>
    <n v="3"/>
    <s v="Married"/>
    <n v="10748"/>
    <n v="3395"/>
    <n v="3"/>
    <s v="Y"/>
    <x v="1"/>
    <n v="23"/>
    <n v="4"/>
    <n v="4"/>
    <n v="80"/>
    <n v="1"/>
    <n v="25"/>
    <n v="3"/>
    <n v="2"/>
    <x v="36"/>
    <n v="15"/>
    <n v="14"/>
    <n v="4"/>
  </r>
  <r>
    <n v="24"/>
    <x v="0"/>
    <s v="Travel_Rarely"/>
    <n v="240"/>
    <x v="2"/>
    <x v="23"/>
    <n v="1"/>
    <s v="Human Resources"/>
    <n v="1"/>
    <n v="1714"/>
    <n v="4"/>
    <x v="1"/>
    <n v="58"/>
    <n v="1"/>
    <x v="1"/>
    <x v="8"/>
    <n v="3"/>
    <s v="Married"/>
    <n v="1555"/>
    <n v="11585"/>
    <n v="1"/>
    <s v="Y"/>
    <x v="1"/>
    <n v="11"/>
    <n v="3"/>
    <n v="3"/>
    <n v="80"/>
    <n v="1"/>
    <n v="1"/>
    <n v="2"/>
    <n v="3"/>
    <x v="6"/>
    <n v="0"/>
    <n v="0"/>
    <n v="0"/>
  </r>
  <r>
    <n v="47"/>
    <x v="0"/>
    <s v="Travel_Frequently"/>
    <n v="1093"/>
    <x v="0"/>
    <x v="14"/>
    <n v="3"/>
    <s v="Life Sciences"/>
    <n v="1"/>
    <n v="1716"/>
    <n v="3"/>
    <x v="1"/>
    <n v="82"/>
    <n v="1"/>
    <x v="3"/>
    <x v="0"/>
    <n v="3"/>
    <s v="Married"/>
    <n v="12936"/>
    <n v="24164"/>
    <n v="7"/>
    <s v="Y"/>
    <x v="1"/>
    <n v="11"/>
    <n v="3"/>
    <n v="3"/>
    <n v="80"/>
    <n v="0"/>
    <n v="25"/>
    <n v="3"/>
    <n v="1"/>
    <x v="36"/>
    <n v="5"/>
    <n v="14"/>
    <n v="10"/>
  </r>
  <r>
    <n v="26"/>
    <x v="1"/>
    <s v="Travel_Rarely"/>
    <n v="390"/>
    <x v="1"/>
    <x v="27"/>
    <n v="4"/>
    <s v="Medical"/>
    <n v="1"/>
    <n v="1718"/>
    <n v="4"/>
    <x v="1"/>
    <n v="62"/>
    <n v="1"/>
    <x v="1"/>
    <x v="2"/>
    <n v="3"/>
    <s v="Married"/>
    <n v="2305"/>
    <n v="6217"/>
    <n v="1"/>
    <s v="Y"/>
    <x v="1"/>
    <n v="15"/>
    <n v="3"/>
    <n v="3"/>
    <n v="80"/>
    <n v="3"/>
    <n v="3"/>
    <n v="3"/>
    <n v="4"/>
    <x v="11"/>
    <n v="2"/>
    <n v="0"/>
    <n v="2"/>
  </r>
  <r>
    <n v="45"/>
    <x v="1"/>
    <s v="Travel_Rarely"/>
    <n v="1005"/>
    <x v="1"/>
    <x v="26"/>
    <n v="2"/>
    <s v="Technical Degree"/>
    <n v="1"/>
    <n v="1719"/>
    <n v="4"/>
    <x v="0"/>
    <n v="48"/>
    <n v="2"/>
    <x v="3"/>
    <x v="7"/>
    <n v="2"/>
    <s v="Single"/>
    <n v="16704"/>
    <n v="17119"/>
    <n v="1"/>
    <s v="Y"/>
    <x v="1"/>
    <n v="11"/>
    <n v="3"/>
    <n v="3"/>
    <n v="80"/>
    <n v="0"/>
    <n v="21"/>
    <n v="2"/>
    <n v="3"/>
    <x v="17"/>
    <n v="6"/>
    <n v="8"/>
    <n v="6"/>
  </r>
  <r>
    <n v="32"/>
    <x v="1"/>
    <s v="Travel_Frequently"/>
    <n v="585"/>
    <x v="1"/>
    <x v="17"/>
    <n v="3"/>
    <s v="Life Sciences"/>
    <n v="1"/>
    <n v="1720"/>
    <n v="1"/>
    <x v="1"/>
    <n v="56"/>
    <n v="3"/>
    <x v="1"/>
    <x v="1"/>
    <n v="3"/>
    <s v="Married"/>
    <n v="3433"/>
    <n v="17360"/>
    <n v="6"/>
    <s v="Y"/>
    <x v="1"/>
    <n v="13"/>
    <n v="3"/>
    <n v="1"/>
    <n v="80"/>
    <n v="1"/>
    <n v="10"/>
    <n v="3"/>
    <n v="2"/>
    <x v="8"/>
    <n v="2"/>
    <n v="1"/>
    <n v="3"/>
  </r>
  <r>
    <n v="31"/>
    <x v="1"/>
    <s v="Travel_Rarely"/>
    <n v="741"/>
    <x v="1"/>
    <x v="2"/>
    <n v="4"/>
    <s v="Life Sciences"/>
    <n v="1"/>
    <n v="1721"/>
    <n v="2"/>
    <x v="1"/>
    <n v="69"/>
    <n v="3"/>
    <x v="1"/>
    <x v="2"/>
    <n v="3"/>
    <s v="Married"/>
    <n v="3477"/>
    <n v="18103"/>
    <n v="1"/>
    <s v="Y"/>
    <x v="1"/>
    <n v="14"/>
    <n v="3"/>
    <n v="4"/>
    <n v="80"/>
    <n v="1"/>
    <n v="6"/>
    <n v="2"/>
    <n v="4"/>
    <x v="8"/>
    <n v="2"/>
    <n v="0"/>
    <n v="3"/>
  </r>
  <r>
    <n v="41"/>
    <x v="1"/>
    <s v="Non-Travel"/>
    <n v="552"/>
    <x v="2"/>
    <x v="18"/>
    <n v="3"/>
    <s v="Human Resources"/>
    <n v="1"/>
    <n v="1722"/>
    <n v="3"/>
    <x v="1"/>
    <n v="60"/>
    <n v="1"/>
    <x v="0"/>
    <x v="8"/>
    <n v="2"/>
    <s v="Married"/>
    <n v="6430"/>
    <n v="20794"/>
    <n v="6"/>
    <s v="Y"/>
    <x v="1"/>
    <n v="19"/>
    <n v="3"/>
    <n v="2"/>
    <n v="80"/>
    <n v="1"/>
    <n v="10"/>
    <n v="4"/>
    <n v="3"/>
    <x v="11"/>
    <n v="2"/>
    <n v="1"/>
    <n v="2"/>
  </r>
  <r>
    <n v="40"/>
    <x v="1"/>
    <s v="Travel_Rarely"/>
    <n v="369"/>
    <x v="1"/>
    <x v="1"/>
    <n v="2"/>
    <s v="Life Sciences"/>
    <n v="1"/>
    <n v="1724"/>
    <n v="2"/>
    <x v="0"/>
    <n v="92"/>
    <n v="3"/>
    <x v="0"/>
    <x v="3"/>
    <n v="1"/>
    <s v="Married"/>
    <n v="6516"/>
    <n v="5041"/>
    <n v="2"/>
    <s v="Y"/>
    <x v="0"/>
    <n v="16"/>
    <n v="3"/>
    <n v="2"/>
    <n v="80"/>
    <n v="1"/>
    <n v="18"/>
    <n v="3"/>
    <n v="3"/>
    <x v="6"/>
    <n v="0"/>
    <n v="0"/>
    <n v="0"/>
  </r>
  <r>
    <n v="24"/>
    <x v="1"/>
    <s v="Travel_Rarely"/>
    <n v="506"/>
    <x v="1"/>
    <x v="22"/>
    <n v="1"/>
    <s v="Medical"/>
    <n v="1"/>
    <n v="1725"/>
    <n v="2"/>
    <x v="1"/>
    <n v="91"/>
    <n v="3"/>
    <x v="1"/>
    <x v="2"/>
    <n v="1"/>
    <s v="Divorced"/>
    <n v="3907"/>
    <n v="3622"/>
    <n v="1"/>
    <s v="Y"/>
    <x v="1"/>
    <n v="13"/>
    <n v="3"/>
    <n v="2"/>
    <n v="80"/>
    <n v="3"/>
    <n v="6"/>
    <n v="2"/>
    <n v="4"/>
    <x v="0"/>
    <n v="2"/>
    <n v="1"/>
    <n v="2"/>
  </r>
  <r>
    <n v="46"/>
    <x v="1"/>
    <s v="Travel_Rarely"/>
    <n v="717"/>
    <x v="1"/>
    <x v="28"/>
    <n v="4"/>
    <s v="Life Sciences"/>
    <n v="1"/>
    <n v="1727"/>
    <n v="3"/>
    <x v="1"/>
    <n v="34"/>
    <n v="3"/>
    <x v="0"/>
    <x v="4"/>
    <n v="2"/>
    <s v="Single"/>
    <n v="5562"/>
    <n v="9697"/>
    <n v="6"/>
    <s v="Y"/>
    <x v="1"/>
    <n v="14"/>
    <n v="3"/>
    <n v="4"/>
    <n v="80"/>
    <n v="0"/>
    <n v="19"/>
    <n v="3"/>
    <n v="3"/>
    <x v="1"/>
    <n v="7"/>
    <n v="0"/>
    <n v="9"/>
  </r>
  <r>
    <n v="35"/>
    <x v="1"/>
    <s v="Travel_Rarely"/>
    <n v="1370"/>
    <x v="1"/>
    <x v="6"/>
    <n v="4"/>
    <s v="Life Sciences"/>
    <n v="1"/>
    <n v="1728"/>
    <n v="4"/>
    <x v="1"/>
    <n v="49"/>
    <n v="3"/>
    <x v="0"/>
    <x v="3"/>
    <n v="3"/>
    <s v="Married"/>
    <n v="6883"/>
    <n v="5151"/>
    <n v="2"/>
    <s v="Y"/>
    <x v="1"/>
    <n v="16"/>
    <n v="3"/>
    <n v="2"/>
    <n v="80"/>
    <n v="1"/>
    <n v="17"/>
    <n v="3"/>
    <n v="3"/>
    <x v="5"/>
    <n v="7"/>
    <n v="0"/>
    <n v="7"/>
  </r>
  <r>
    <n v="30"/>
    <x v="1"/>
    <s v="Travel_Rarely"/>
    <n v="793"/>
    <x v="1"/>
    <x v="7"/>
    <n v="1"/>
    <s v="Life Sciences"/>
    <n v="1"/>
    <n v="1729"/>
    <n v="2"/>
    <x v="1"/>
    <n v="33"/>
    <n v="3"/>
    <x v="1"/>
    <x v="1"/>
    <n v="4"/>
    <s v="Married"/>
    <n v="2862"/>
    <n v="3811"/>
    <n v="1"/>
    <s v="Y"/>
    <x v="1"/>
    <n v="12"/>
    <n v="3"/>
    <n v="2"/>
    <n v="80"/>
    <n v="1"/>
    <n v="10"/>
    <n v="2"/>
    <n v="2"/>
    <x v="1"/>
    <n v="0"/>
    <n v="0"/>
    <n v="8"/>
  </r>
  <r>
    <n v="47"/>
    <x v="1"/>
    <s v="Non-Travel"/>
    <n v="543"/>
    <x v="0"/>
    <x v="2"/>
    <n v="4"/>
    <s v="Marketing"/>
    <n v="1"/>
    <n v="1731"/>
    <n v="3"/>
    <x v="1"/>
    <n v="87"/>
    <n v="3"/>
    <x v="0"/>
    <x v="0"/>
    <n v="2"/>
    <s v="Married"/>
    <n v="4978"/>
    <n v="3536"/>
    <n v="7"/>
    <s v="Y"/>
    <x v="1"/>
    <n v="11"/>
    <n v="3"/>
    <n v="4"/>
    <n v="80"/>
    <n v="1"/>
    <n v="4"/>
    <n v="3"/>
    <n v="1"/>
    <x v="6"/>
    <n v="0"/>
    <n v="0"/>
    <n v="0"/>
  </r>
  <r>
    <n v="46"/>
    <x v="1"/>
    <s v="Travel_Rarely"/>
    <n v="1277"/>
    <x v="0"/>
    <x v="2"/>
    <n v="3"/>
    <s v="Life Sciences"/>
    <n v="1"/>
    <n v="1732"/>
    <n v="3"/>
    <x v="1"/>
    <n v="74"/>
    <n v="3"/>
    <x v="2"/>
    <x v="0"/>
    <n v="4"/>
    <s v="Divorced"/>
    <n v="10368"/>
    <n v="5596"/>
    <n v="4"/>
    <s v="Y"/>
    <x v="0"/>
    <n v="12"/>
    <n v="3"/>
    <n v="2"/>
    <n v="80"/>
    <n v="1"/>
    <n v="13"/>
    <n v="5"/>
    <n v="2"/>
    <x v="1"/>
    <n v="6"/>
    <n v="0"/>
    <n v="3"/>
  </r>
  <r>
    <n v="36"/>
    <x v="0"/>
    <s v="Travel_Rarely"/>
    <n v="1456"/>
    <x v="0"/>
    <x v="28"/>
    <n v="5"/>
    <s v="Marketing"/>
    <n v="1"/>
    <n v="1733"/>
    <n v="2"/>
    <x v="1"/>
    <n v="96"/>
    <n v="2"/>
    <x v="0"/>
    <x v="0"/>
    <n v="1"/>
    <s v="Divorced"/>
    <n v="6134"/>
    <n v="8658"/>
    <n v="5"/>
    <s v="Y"/>
    <x v="0"/>
    <n v="13"/>
    <n v="3"/>
    <n v="2"/>
    <n v="80"/>
    <n v="3"/>
    <n v="16"/>
    <n v="3"/>
    <n v="3"/>
    <x v="4"/>
    <n v="2"/>
    <n v="2"/>
    <n v="2"/>
  </r>
  <r>
    <n v="32"/>
    <x v="0"/>
    <s v="Travel_Rarely"/>
    <n v="964"/>
    <x v="0"/>
    <x v="0"/>
    <n v="2"/>
    <s v="Life Sciences"/>
    <n v="1"/>
    <n v="1734"/>
    <n v="1"/>
    <x v="1"/>
    <n v="34"/>
    <n v="1"/>
    <x v="0"/>
    <x v="0"/>
    <n v="2"/>
    <s v="Single"/>
    <n v="6735"/>
    <n v="12147"/>
    <n v="6"/>
    <s v="Y"/>
    <x v="1"/>
    <n v="15"/>
    <n v="3"/>
    <n v="2"/>
    <n v="80"/>
    <n v="0"/>
    <n v="10"/>
    <n v="2"/>
    <n v="3"/>
    <x v="2"/>
    <n v="0"/>
    <n v="0"/>
    <n v="0"/>
  </r>
  <r>
    <n v="23"/>
    <x v="1"/>
    <s v="Travel_Rarely"/>
    <n v="160"/>
    <x v="1"/>
    <x v="18"/>
    <n v="1"/>
    <s v="Medical"/>
    <n v="1"/>
    <n v="1735"/>
    <n v="3"/>
    <x v="0"/>
    <n v="51"/>
    <n v="3"/>
    <x v="1"/>
    <x v="2"/>
    <n v="2"/>
    <s v="Single"/>
    <n v="3295"/>
    <n v="12862"/>
    <n v="1"/>
    <s v="Y"/>
    <x v="1"/>
    <n v="13"/>
    <n v="3"/>
    <n v="3"/>
    <n v="80"/>
    <n v="0"/>
    <n v="3"/>
    <n v="3"/>
    <n v="1"/>
    <x v="11"/>
    <n v="2"/>
    <n v="1"/>
    <n v="2"/>
  </r>
  <r>
    <n v="31"/>
    <x v="1"/>
    <s v="Travel_Frequently"/>
    <n v="163"/>
    <x v="1"/>
    <x v="4"/>
    <n v="1"/>
    <s v="Technical Degree"/>
    <n v="1"/>
    <n v="1736"/>
    <n v="4"/>
    <x v="0"/>
    <n v="30"/>
    <n v="3"/>
    <x v="0"/>
    <x v="3"/>
    <n v="4"/>
    <s v="Single"/>
    <n v="5238"/>
    <n v="6670"/>
    <n v="2"/>
    <s v="Y"/>
    <x v="1"/>
    <n v="20"/>
    <n v="4"/>
    <n v="4"/>
    <n v="80"/>
    <n v="0"/>
    <n v="9"/>
    <n v="3"/>
    <n v="2"/>
    <x v="8"/>
    <n v="4"/>
    <n v="1"/>
    <n v="4"/>
  </r>
  <r>
    <n v="39"/>
    <x v="1"/>
    <s v="Non-Travel"/>
    <n v="792"/>
    <x v="1"/>
    <x v="0"/>
    <n v="3"/>
    <s v="Life Sciences"/>
    <n v="1"/>
    <n v="1737"/>
    <n v="4"/>
    <x v="1"/>
    <n v="77"/>
    <n v="3"/>
    <x v="0"/>
    <x v="2"/>
    <n v="4"/>
    <s v="Married"/>
    <n v="6472"/>
    <n v="8989"/>
    <n v="1"/>
    <s v="Y"/>
    <x v="0"/>
    <n v="15"/>
    <n v="3"/>
    <n v="4"/>
    <n v="80"/>
    <n v="1"/>
    <n v="9"/>
    <n v="2"/>
    <n v="3"/>
    <x v="7"/>
    <n v="8"/>
    <n v="5"/>
    <n v="8"/>
  </r>
  <r>
    <n v="32"/>
    <x v="1"/>
    <s v="Travel_Rarely"/>
    <n v="371"/>
    <x v="0"/>
    <x v="10"/>
    <n v="3"/>
    <s v="Life Sciences"/>
    <n v="1"/>
    <n v="1739"/>
    <n v="4"/>
    <x v="1"/>
    <n v="80"/>
    <n v="1"/>
    <x v="2"/>
    <x v="0"/>
    <n v="3"/>
    <s v="Married"/>
    <n v="9610"/>
    <n v="3840"/>
    <n v="3"/>
    <s v="Y"/>
    <x v="1"/>
    <n v="13"/>
    <n v="3"/>
    <n v="3"/>
    <n v="80"/>
    <n v="1"/>
    <n v="10"/>
    <n v="2"/>
    <n v="1"/>
    <x v="9"/>
    <n v="3"/>
    <n v="0"/>
    <n v="2"/>
  </r>
  <r>
    <n v="40"/>
    <x v="1"/>
    <s v="Travel_Rarely"/>
    <n v="611"/>
    <x v="0"/>
    <x v="15"/>
    <n v="4"/>
    <s v="Medical"/>
    <n v="1"/>
    <n v="1740"/>
    <n v="2"/>
    <x v="1"/>
    <n v="88"/>
    <n v="3"/>
    <x v="4"/>
    <x v="5"/>
    <n v="2"/>
    <s v="Single"/>
    <n v="19833"/>
    <n v="4349"/>
    <n v="1"/>
    <s v="Y"/>
    <x v="1"/>
    <n v="14"/>
    <n v="3"/>
    <n v="2"/>
    <n v="80"/>
    <n v="0"/>
    <n v="21"/>
    <n v="3"/>
    <n v="2"/>
    <x v="17"/>
    <n v="8"/>
    <n v="12"/>
    <n v="8"/>
  </r>
  <r>
    <n v="45"/>
    <x v="1"/>
    <s v="Travel_Rarely"/>
    <n v="176"/>
    <x v="2"/>
    <x v="18"/>
    <n v="3"/>
    <s v="Life Sciences"/>
    <n v="1"/>
    <n v="1744"/>
    <n v="3"/>
    <x v="0"/>
    <n v="56"/>
    <n v="1"/>
    <x v="2"/>
    <x v="8"/>
    <n v="3"/>
    <s v="Married"/>
    <n v="9756"/>
    <n v="6595"/>
    <n v="4"/>
    <s v="Y"/>
    <x v="1"/>
    <n v="21"/>
    <n v="4"/>
    <n v="3"/>
    <n v="80"/>
    <n v="2"/>
    <n v="9"/>
    <n v="2"/>
    <n v="4"/>
    <x v="8"/>
    <n v="0"/>
    <n v="0"/>
    <n v="3"/>
  </r>
  <r>
    <n v="30"/>
    <x v="1"/>
    <s v="Travel_Frequently"/>
    <n v="1312"/>
    <x v="1"/>
    <x v="2"/>
    <n v="4"/>
    <s v="Technical Degree"/>
    <n v="1"/>
    <n v="1745"/>
    <n v="4"/>
    <x v="0"/>
    <n v="78"/>
    <n v="2"/>
    <x v="1"/>
    <x v="1"/>
    <n v="1"/>
    <s v="Single"/>
    <n v="4968"/>
    <n v="26427"/>
    <n v="0"/>
    <s v="Y"/>
    <x v="1"/>
    <n v="16"/>
    <n v="3"/>
    <n v="4"/>
    <n v="80"/>
    <n v="0"/>
    <n v="10"/>
    <n v="2"/>
    <n v="3"/>
    <x v="7"/>
    <n v="7"/>
    <n v="0"/>
    <n v="7"/>
  </r>
  <r>
    <n v="24"/>
    <x v="1"/>
    <s v="Travel_Frequently"/>
    <n v="897"/>
    <x v="2"/>
    <x v="17"/>
    <n v="3"/>
    <s v="Medical"/>
    <n v="1"/>
    <n v="1746"/>
    <n v="1"/>
    <x v="1"/>
    <n v="59"/>
    <n v="3"/>
    <x v="1"/>
    <x v="8"/>
    <n v="4"/>
    <s v="Married"/>
    <n v="2145"/>
    <n v="2097"/>
    <n v="0"/>
    <s v="Y"/>
    <x v="1"/>
    <n v="14"/>
    <n v="3"/>
    <n v="4"/>
    <n v="80"/>
    <n v="1"/>
    <n v="3"/>
    <n v="2"/>
    <n v="3"/>
    <x v="4"/>
    <n v="2"/>
    <n v="2"/>
    <n v="1"/>
  </r>
  <r>
    <n v="30"/>
    <x v="0"/>
    <s v="Travel_Frequently"/>
    <n v="600"/>
    <x v="2"/>
    <x v="1"/>
    <n v="3"/>
    <s v="Human Resources"/>
    <n v="1"/>
    <n v="1747"/>
    <n v="3"/>
    <x v="0"/>
    <n v="66"/>
    <n v="2"/>
    <x v="1"/>
    <x v="8"/>
    <n v="4"/>
    <s v="Divorced"/>
    <n v="2180"/>
    <n v="9732"/>
    <n v="6"/>
    <s v="Y"/>
    <x v="1"/>
    <n v="11"/>
    <n v="3"/>
    <n v="3"/>
    <n v="80"/>
    <n v="1"/>
    <n v="6"/>
    <n v="0"/>
    <n v="2"/>
    <x v="9"/>
    <n v="2"/>
    <n v="1"/>
    <n v="2"/>
  </r>
  <r>
    <n v="31"/>
    <x v="1"/>
    <s v="Travel_Rarely"/>
    <n v="1003"/>
    <x v="0"/>
    <x v="12"/>
    <n v="3"/>
    <s v="Technical Degree"/>
    <n v="1"/>
    <n v="1749"/>
    <n v="1"/>
    <x v="1"/>
    <n v="51"/>
    <n v="3"/>
    <x v="0"/>
    <x v="0"/>
    <n v="3"/>
    <s v="Married"/>
    <n v="8346"/>
    <n v="20943"/>
    <n v="1"/>
    <s v="Y"/>
    <x v="1"/>
    <n v="19"/>
    <n v="3"/>
    <n v="3"/>
    <n v="80"/>
    <n v="1"/>
    <n v="6"/>
    <n v="3"/>
    <n v="3"/>
    <x v="8"/>
    <n v="2"/>
    <n v="0"/>
    <n v="2"/>
  </r>
  <r>
    <n v="27"/>
    <x v="1"/>
    <s v="Travel_Rarely"/>
    <n v="1054"/>
    <x v="1"/>
    <x v="1"/>
    <n v="3"/>
    <s v="Medical"/>
    <n v="1"/>
    <n v="1751"/>
    <n v="3"/>
    <x v="0"/>
    <n v="67"/>
    <n v="3"/>
    <x v="1"/>
    <x v="1"/>
    <n v="4"/>
    <s v="Single"/>
    <n v="3445"/>
    <n v="6152"/>
    <n v="1"/>
    <s v="Y"/>
    <x v="1"/>
    <n v="11"/>
    <n v="3"/>
    <n v="3"/>
    <n v="80"/>
    <n v="0"/>
    <n v="6"/>
    <n v="5"/>
    <n v="2"/>
    <x v="0"/>
    <n v="2"/>
    <n v="1"/>
    <n v="4"/>
  </r>
  <r>
    <n v="29"/>
    <x v="0"/>
    <s v="Travel_Rarely"/>
    <n v="428"/>
    <x v="0"/>
    <x v="14"/>
    <n v="3"/>
    <s v="Marketing"/>
    <n v="1"/>
    <n v="1752"/>
    <n v="2"/>
    <x v="0"/>
    <n v="52"/>
    <n v="1"/>
    <x v="1"/>
    <x v="6"/>
    <n v="2"/>
    <s v="Single"/>
    <n v="2760"/>
    <n v="14630"/>
    <n v="1"/>
    <s v="Y"/>
    <x v="1"/>
    <n v="13"/>
    <n v="3"/>
    <n v="3"/>
    <n v="80"/>
    <n v="0"/>
    <n v="2"/>
    <n v="3"/>
    <n v="3"/>
    <x v="4"/>
    <n v="2"/>
    <n v="2"/>
    <n v="2"/>
  </r>
  <r>
    <n v="29"/>
    <x v="1"/>
    <s v="Travel_Frequently"/>
    <n v="461"/>
    <x v="1"/>
    <x v="0"/>
    <n v="3"/>
    <s v="Life Sciences"/>
    <n v="1"/>
    <n v="1753"/>
    <n v="4"/>
    <x v="1"/>
    <n v="70"/>
    <n v="4"/>
    <x v="0"/>
    <x v="4"/>
    <n v="3"/>
    <s v="Single"/>
    <n v="6294"/>
    <n v="23060"/>
    <n v="8"/>
    <s v="Y"/>
    <x v="0"/>
    <n v="12"/>
    <n v="3"/>
    <n v="4"/>
    <n v="80"/>
    <n v="0"/>
    <n v="10"/>
    <n v="5"/>
    <n v="4"/>
    <x v="11"/>
    <n v="2"/>
    <n v="0"/>
    <n v="2"/>
  </r>
  <r>
    <n v="30"/>
    <x v="1"/>
    <s v="Travel_Rarely"/>
    <n v="979"/>
    <x v="0"/>
    <x v="8"/>
    <n v="2"/>
    <s v="Marketing"/>
    <n v="1"/>
    <n v="1754"/>
    <n v="3"/>
    <x v="1"/>
    <n v="94"/>
    <n v="2"/>
    <x v="2"/>
    <x v="0"/>
    <n v="1"/>
    <s v="Divorced"/>
    <n v="7140"/>
    <n v="3088"/>
    <n v="2"/>
    <s v="Y"/>
    <x v="1"/>
    <n v="11"/>
    <n v="3"/>
    <n v="1"/>
    <n v="80"/>
    <n v="1"/>
    <n v="12"/>
    <n v="2"/>
    <n v="3"/>
    <x v="5"/>
    <n v="7"/>
    <n v="1"/>
    <n v="7"/>
  </r>
  <r>
    <n v="34"/>
    <x v="1"/>
    <s v="Travel_Rarely"/>
    <n v="181"/>
    <x v="1"/>
    <x v="2"/>
    <n v="4"/>
    <s v="Medical"/>
    <n v="1"/>
    <n v="1755"/>
    <n v="4"/>
    <x v="1"/>
    <n v="97"/>
    <n v="4"/>
    <x v="1"/>
    <x v="1"/>
    <n v="4"/>
    <s v="Married"/>
    <n v="2932"/>
    <n v="5586"/>
    <n v="0"/>
    <s v="Y"/>
    <x v="0"/>
    <n v="14"/>
    <n v="3"/>
    <n v="1"/>
    <n v="80"/>
    <n v="3"/>
    <n v="6"/>
    <n v="3"/>
    <n v="3"/>
    <x v="8"/>
    <n v="0"/>
    <n v="1"/>
    <n v="2"/>
  </r>
  <r>
    <n v="33"/>
    <x v="1"/>
    <s v="Non-Travel"/>
    <n v="1283"/>
    <x v="0"/>
    <x v="2"/>
    <n v="3"/>
    <s v="Marketing"/>
    <n v="1"/>
    <n v="1756"/>
    <n v="4"/>
    <x v="0"/>
    <n v="62"/>
    <n v="3"/>
    <x v="0"/>
    <x v="0"/>
    <n v="2"/>
    <s v="Single"/>
    <n v="5147"/>
    <n v="10697"/>
    <n v="8"/>
    <s v="Y"/>
    <x v="1"/>
    <n v="15"/>
    <n v="3"/>
    <n v="4"/>
    <n v="80"/>
    <n v="0"/>
    <n v="13"/>
    <n v="2"/>
    <n v="2"/>
    <x v="19"/>
    <n v="7"/>
    <n v="1"/>
    <n v="7"/>
  </r>
  <r>
    <n v="49"/>
    <x v="1"/>
    <s v="Travel_Rarely"/>
    <n v="1313"/>
    <x v="0"/>
    <x v="13"/>
    <n v="4"/>
    <s v="Marketing"/>
    <n v="1"/>
    <n v="1757"/>
    <n v="4"/>
    <x v="0"/>
    <n v="80"/>
    <n v="3"/>
    <x v="0"/>
    <x v="0"/>
    <n v="4"/>
    <s v="Single"/>
    <n v="4507"/>
    <n v="8191"/>
    <n v="3"/>
    <s v="Y"/>
    <x v="1"/>
    <n v="12"/>
    <n v="3"/>
    <n v="3"/>
    <n v="80"/>
    <n v="0"/>
    <n v="8"/>
    <n v="1"/>
    <n v="4"/>
    <x v="8"/>
    <n v="1"/>
    <n v="0"/>
    <n v="4"/>
  </r>
  <r>
    <n v="33"/>
    <x v="0"/>
    <s v="Travel_Rarely"/>
    <n v="211"/>
    <x v="0"/>
    <x v="7"/>
    <n v="3"/>
    <s v="Life Sciences"/>
    <n v="1"/>
    <n v="1758"/>
    <n v="1"/>
    <x v="0"/>
    <n v="74"/>
    <n v="3"/>
    <x v="2"/>
    <x v="0"/>
    <n v="1"/>
    <s v="Single"/>
    <n v="8564"/>
    <n v="10092"/>
    <n v="2"/>
    <s v="Y"/>
    <x v="0"/>
    <n v="20"/>
    <n v="4"/>
    <n v="3"/>
    <n v="80"/>
    <n v="0"/>
    <n v="11"/>
    <n v="2"/>
    <n v="2"/>
    <x v="2"/>
    <n v="0"/>
    <n v="0"/>
    <n v="0"/>
  </r>
  <r>
    <n v="38"/>
    <x v="1"/>
    <s v="Travel_Frequently"/>
    <n v="594"/>
    <x v="1"/>
    <x v="2"/>
    <n v="2"/>
    <s v="Medical"/>
    <n v="1"/>
    <n v="1760"/>
    <n v="3"/>
    <x v="0"/>
    <n v="75"/>
    <n v="2"/>
    <x v="1"/>
    <x v="2"/>
    <n v="2"/>
    <s v="Married"/>
    <n v="2468"/>
    <n v="15963"/>
    <n v="4"/>
    <s v="Y"/>
    <x v="1"/>
    <n v="14"/>
    <n v="3"/>
    <n v="2"/>
    <n v="80"/>
    <n v="1"/>
    <n v="9"/>
    <n v="4"/>
    <n v="2"/>
    <x v="0"/>
    <n v="1"/>
    <n v="0"/>
    <n v="5"/>
  </r>
  <r>
    <n v="31"/>
    <x v="0"/>
    <s v="Travel_Rarely"/>
    <n v="1079"/>
    <x v="0"/>
    <x v="7"/>
    <n v="4"/>
    <s v="Marketing"/>
    <n v="1"/>
    <n v="1761"/>
    <n v="1"/>
    <x v="1"/>
    <n v="70"/>
    <n v="3"/>
    <x v="2"/>
    <x v="0"/>
    <n v="3"/>
    <s v="Married"/>
    <n v="8161"/>
    <n v="19002"/>
    <n v="2"/>
    <s v="Y"/>
    <x v="1"/>
    <n v="13"/>
    <n v="3"/>
    <n v="1"/>
    <n v="80"/>
    <n v="3"/>
    <n v="10"/>
    <n v="2"/>
    <n v="3"/>
    <x v="6"/>
    <n v="0"/>
    <n v="0"/>
    <n v="0"/>
  </r>
  <r>
    <n v="29"/>
    <x v="1"/>
    <s v="Travel_Rarely"/>
    <n v="590"/>
    <x v="1"/>
    <x v="18"/>
    <n v="3"/>
    <s v="Technical Degree"/>
    <n v="1"/>
    <n v="1762"/>
    <n v="4"/>
    <x v="0"/>
    <n v="91"/>
    <n v="2"/>
    <x v="1"/>
    <x v="1"/>
    <n v="1"/>
    <s v="Divorced"/>
    <n v="2109"/>
    <n v="10007"/>
    <n v="1"/>
    <s v="Y"/>
    <x v="1"/>
    <n v="13"/>
    <n v="3"/>
    <n v="3"/>
    <n v="80"/>
    <n v="1"/>
    <n v="1"/>
    <n v="2"/>
    <n v="3"/>
    <x v="6"/>
    <n v="0"/>
    <n v="0"/>
    <n v="0"/>
  </r>
  <r>
    <n v="30"/>
    <x v="1"/>
    <s v="Travel_Rarely"/>
    <n v="305"/>
    <x v="1"/>
    <x v="7"/>
    <n v="3"/>
    <s v="Life Sciences"/>
    <n v="1"/>
    <n v="1763"/>
    <n v="3"/>
    <x v="1"/>
    <n v="58"/>
    <n v="4"/>
    <x v="0"/>
    <x v="4"/>
    <n v="3"/>
    <s v="Married"/>
    <n v="5294"/>
    <n v="9128"/>
    <n v="3"/>
    <s v="Y"/>
    <x v="1"/>
    <n v="16"/>
    <n v="3"/>
    <n v="3"/>
    <n v="80"/>
    <n v="1"/>
    <n v="10"/>
    <n v="3"/>
    <n v="3"/>
    <x v="5"/>
    <n v="0"/>
    <n v="1"/>
    <n v="7"/>
  </r>
  <r>
    <n v="32"/>
    <x v="1"/>
    <s v="Non-Travel"/>
    <n v="953"/>
    <x v="1"/>
    <x v="12"/>
    <n v="4"/>
    <s v="Technical Degree"/>
    <n v="1"/>
    <n v="1764"/>
    <n v="2"/>
    <x v="1"/>
    <n v="65"/>
    <n v="3"/>
    <x v="1"/>
    <x v="1"/>
    <n v="2"/>
    <s v="Single"/>
    <n v="2718"/>
    <n v="17674"/>
    <n v="2"/>
    <s v="Y"/>
    <x v="1"/>
    <n v="14"/>
    <n v="3"/>
    <n v="2"/>
    <n v="80"/>
    <n v="0"/>
    <n v="12"/>
    <n v="3"/>
    <n v="3"/>
    <x v="5"/>
    <n v="7"/>
    <n v="0"/>
    <n v="7"/>
  </r>
  <r>
    <n v="38"/>
    <x v="1"/>
    <s v="Travel_Rarely"/>
    <n v="833"/>
    <x v="1"/>
    <x v="21"/>
    <n v="3"/>
    <s v="Medical"/>
    <n v="1"/>
    <n v="1766"/>
    <n v="2"/>
    <x v="1"/>
    <n v="60"/>
    <n v="1"/>
    <x v="0"/>
    <x v="4"/>
    <n v="4"/>
    <s v="Married"/>
    <n v="5811"/>
    <n v="24539"/>
    <n v="3"/>
    <s v="Y"/>
    <x v="0"/>
    <n v="16"/>
    <n v="3"/>
    <n v="3"/>
    <n v="80"/>
    <n v="1"/>
    <n v="15"/>
    <n v="2"/>
    <n v="3"/>
    <x v="6"/>
    <n v="0"/>
    <n v="1"/>
    <n v="0"/>
  </r>
  <r>
    <n v="43"/>
    <x v="0"/>
    <s v="Travel_Frequently"/>
    <n v="807"/>
    <x v="1"/>
    <x v="27"/>
    <n v="3"/>
    <s v="Technical Degree"/>
    <n v="1"/>
    <n v="1767"/>
    <n v="3"/>
    <x v="1"/>
    <n v="38"/>
    <n v="2"/>
    <x v="1"/>
    <x v="1"/>
    <n v="3"/>
    <s v="Married"/>
    <n v="2437"/>
    <n v="15587"/>
    <n v="9"/>
    <s v="Y"/>
    <x v="0"/>
    <n v="16"/>
    <n v="3"/>
    <n v="4"/>
    <n v="80"/>
    <n v="1"/>
    <n v="6"/>
    <n v="4"/>
    <n v="3"/>
    <x v="6"/>
    <n v="0"/>
    <n v="0"/>
    <n v="0"/>
  </r>
  <r>
    <n v="42"/>
    <x v="1"/>
    <s v="Travel_Rarely"/>
    <n v="855"/>
    <x v="1"/>
    <x v="20"/>
    <n v="3"/>
    <s v="Medical"/>
    <n v="1"/>
    <n v="1768"/>
    <n v="2"/>
    <x v="1"/>
    <n v="57"/>
    <n v="3"/>
    <x v="1"/>
    <x v="2"/>
    <n v="2"/>
    <s v="Divorced"/>
    <n v="2766"/>
    <n v="8952"/>
    <n v="8"/>
    <s v="Y"/>
    <x v="1"/>
    <n v="22"/>
    <n v="4"/>
    <n v="2"/>
    <n v="80"/>
    <n v="3"/>
    <n v="7"/>
    <n v="6"/>
    <n v="2"/>
    <x v="8"/>
    <n v="3"/>
    <n v="0"/>
    <n v="4"/>
  </r>
  <r>
    <n v="55"/>
    <x v="1"/>
    <s v="Travel_Rarely"/>
    <n v="478"/>
    <x v="1"/>
    <x v="2"/>
    <n v="3"/>
    <s v="Medical"/>
    <n v="1"/>
    <n v="1770"/>
    <n v="3"/>
    <x v="1"/>
    <n v="60"/>
    <n v="2"/>
    <x v="4"/>
    <x v="7"/>
    <n v="1"/>
    <s v="Married"/>
    <n v="19038"/>
    <n v="19805"/>
    <n v="8"/>
    <s v="Y"/>
    <x v="1"/>
    <n v="12"/>
    <n v="3"/>
    <n v="2"/>
    <n v="80"/>
    <n v="3"/>
    <n v="34"/>
    <n v="2"/>
    <n v="3"/>
    <x v="6"/>
    <n v="0"/>
    <n v="0"/>
    <n v="0"/>
  </r>
  <r>
    <n v="33"/>
    <x v="1"/>
    <s v="Non-Travel"/>
    <n v="775"/>
    <x v="1"/>
    <x v="18"/>
    <n v="3"/>
    <s v="Technical Degree"/>
    <n v="1"/>
    <n v="1771"/>
    <n v="4"/>
    <x v="1"/>
    <n v="90"/>
    <n v="3"/>
    <x v="0"/>
    <x v="1"/>
    <n v="2"/>
    <s v="Divorced"/>
    <n v="3055"/>
    <n v="6194"/>
    <n v="5"/>
    <s v="Y"/>
    <x v="1"/>
    <n v="15"/>
    <n v="3"/>
    <n v="4"/>
    <n v="80"/>
    <n v="2"/>
    <n v="11"/>
    <n v="2"/>
    <n v="2"/>
    <x v="7"/>
    <n v="8"/>
    <n v="1"/>
    <n v="7"/>
  </r>
  <r>
    <n v="41"/>
    <x v="1"/>
    <s v="Travel_Rarely"/>
    <n v="548"/>
    <x v="1"/>
    <x v="14"/>
    <n v="4"/>
    <s v="Life Sciences"/>
    <n v="1"/>
    <n v="1772"/>
    <n v="3"/>
    <x v="1"/>
    <n v="94"/>
    <n v="3"/>
    <x v="1"/>
    <x v="2"/>
    <n v="1"/>
    <s v="Divorced"/>
    <n v="2289"/>
    <n v="20520"/>
    <n v="1"/>
    <s v="Y"/>
    <x v="1"/>
    <n v="20"/>
    <n v="4"/>
    <n v="2"/>
    <n v="80"/>
    <n v="2"/>
    <n v="5"/>
    <n v="2"/>
    <n v="3"/>
    <x v="8"/>
    <n v="3"/>
    <n v="0"/>
    <n v="4"/>
  </r>
  <r>
    <n v="34"/>
    <x v="1"/>
    <s v="Non-Travel"/>
    <n v="1375"/>
    <x v="0"/>
    <x v="17"/>
    <n v="3"/>
    <s v="Life Sciences"/>
    <n v="1"/>
    <n v="1774"/>
    <n v="4"/>
    <x v="1"/>
    <n v="87"/>
    <n v="3"/>
    <x v="0"/>
    <x v="0"/>
    <n v="3"/>
    <s v="Divorced"/>
    <n v="4001"/>
    <n v="12313"/>
    <n v="1"/>
    <s v="Y"/>
    <x v="0"/>
    <n v="14"/>
    <n v="3"/>
    <n v="3"/>
    <n v="80"/>
    <n v="1"/>
    <n v="15"/>
    <n v="3"/>
    <n v="3"/>
    <x v="15"/>
    <n v="14"/>
    <n v="0"/>
    <n v="7"/>
  </r>
  <r>
    <n v="53"/>
    <x v="1"/>
    <s v="Non-Travel"/>
    <n v="661"/>
    <x v="1"/>
    <x v="0"/>
    <n v="4"/>
    <s v="Medical"/>
    <n v="1"/>
    <n v="1775"/>
    <n v="1"/>
    <x v="0"/>
    <n v="60"/>
    <n v="2"/>
    <x v="3"/>
    <x v="3"/>
    <n v="3"/>
    <s v="Married"/>
    <n v="12965"/>
    <n v="22308"/>
    <n v="4"/>
    <s v="Y"/>
    <x v="0"/>
    <n v="20"/>
    <n v="4"/>
    <n v="4"/>
    <n v="80"/>
    <n v="3"/>
    <n v="27"/>
    <n v="2"/>
    <n v="2"/>
    <x v="11"/>
    <n v="2"/>
    <n v="0"/>
    <n v="2"/>
  </r>
  <r>
    <n v="43"/>
    <x v="1"/>
    <s v="Travel_Rarely"/>
    <n v="244"/>
    <x v="2"/>
    <x v="2"/>
    <n v="3"/>
    <s v="Life Sciences"/>
    <n v="1"/>
    <n v="1778"/>
    <n v="2"/>
    <x v="1"/>
    <n v="97"/>
    <n v="3"/>
    <x v="1"/>
    <x v="8"/>
    <n v="4"/>
    <s v="Single"/>
    <n v="3539"/>
    <n v="5033"/>
    <n v="0"/>
    <s v="Y"/>
    <x v="1"/>
    <n v="13"/>
    <n v="3"/>
    <n v="2"/>
    <n v="80"/>
    <n v="0"/>
    <n v="10"/>
    <n v="5"/>
    <n v="3"/>
    <x v="7"/>
    <n v="7"/>
    <n v="1"/>
    <n v="8"/>
  </r>
  <r>
    <n v="34"/>
    <x v="1"/>
    <s v="Travel_Rarely"/>
    <n v="511"/>
    <x v="0"/>
    <x v="3"/>
    <n v="2"/>
    <s v="Life Sciences"/>
    <n v="1"/>
    <n v="1779"/>
    <n v="4"/>
    <x v="0"/>
    <n v="32"/>
    <n v="1"/>
    <x v="0"/>
    <x v="0"/>
    <n v="4"/>
    <s v="Single"/>
    <n v="6029"/>
    <n v="25353"/>
    <n v="5"/>
    <s v="Y"/>
    <x v="1"/>
    <n v="12"/>
    <n v="3"/>
    <n v="1"/>
    <n v="80"/>
    <n v="0"/>
    <n v="6"/>
    <n v="3"/>
    <n v="3"/>
    <x v="4"/>
    <n v="2"/>
    <n v="2"/>
    <n v="2"/>
  </r>
  <r>
    <n v="21"/>
    <x v="0"/>
    <s v="Travel_Rarely"/>
    <n v="337"/>
    <x v="0"/>
    <x v="15"/>
    <n v="1"/>
    <s v="Marketing"/>
    <n v="1"/>
    <n v="1780"/>
    <n v="2"/>
    <x v="1"/>
    <n v="31"/>
    <n v="3"/>
    <x v="1"/>
    <x v="6"/>
    <n v="2"/>
    <s v="Single"/>
    <n v="2679"/>
    <n v="4567"/>
    <n v="1"/>
    <s v="Y"/>
    <x v="1"/>
    <n v="13"/>
    <n v="3"/>
    <n v="2"/>
    <n v="80"/>
    <n v="0"/>
    <n v="1"/>
    <n v="3"/>
    <n v="3"/>
    <x v="6"/>
    <n v="0"/>
    <n v="1"/>
    <n v="0"/>
  </r>
  <r>
    <n v="38"/>
    <x v="1"/>
    <s v="Travel_Rarely"/>
    <n v="1153"/>
    <x v="1"/>
    <x v="16"/>
    <n v="2"/>
    <s v="Other"/>
    <n v="1"/>
    <n v="1782"/>
    <n v="4"/>
    <x v="0"/>
    <n v="40"/>
    <n v="2"/>
    <x v="1"/>
    <x v="2"/>
    <n v="3"/>
    <s v="Married"/>
    <n v="3702"/>
    <n v="16376"/>
    <n v="1"/>
    <s v="Y"/>
    <x v="1"/>
    <n v="11"/>
    <n v="3"/>
    <n v="2"/>
    <n v="80"/>
    <n v="1"/>
    <n v="5"/>
    <n v="3"/>
    <n v="3"/>
    <x v="8"/>
    <n v="4"/>
    <n v="0"/>
    <n v="4"/>
  </r>
  <r>
    <n v="22"/>
    <x v="0"/>
    <s v="Travel_Rarely"/>
    <n v="1294"/>
    <x v="1"/>
    <x v="1"/>
    <n v="1"/>
    <s v="Medical"/>
    <n v="1"/>
    <n v="1783"/>
    <n v="3"/>
    <x v="0"/>
    <n v="79"/>
    <n v="3"/>
    <x v="1"/>
    <x v="2"/>
    <n v="1"/>
    <s v="Married"/>
    <n v="2398"/>
    <n v="15999"/>
    <n v="1"/>
    <s v="Y"/>
    <x v="0"/>
    <n v="17"/>
    <n v="3"/>
    <n v="3"/>
    <n v="80"/>
    <n v="0"/>
    <n v="1"/>
    <n v="6"/>
    <n v="3"/>
    <x v="6"/>
    <n v="0"/>
    <n v="0"/>
    <n v="0"/>
  </r>
  <r>
    <n v="31"/>
    <x v="1"/>
    <s v="Travel_Rarely"/>
    <n v="196"/>
    <x v="0"/>
    <x v="22"/>
    <n v="4"/>
    <s v="Marketing"/>
    <n v="1"/>
    <n v="1784"/>
    <n v="1"/>
    <x v="0"/>
    <n v="91"/>
    <n v="2"/>
    <x v="0"/>
    <x v="0"/>
    <n v="4"/>
    <s v="Married"/>
    <n v="5468"/>
    <n v="13402"/>
    <n v="1"/>
    <s v="Y"/>
    <x v="1"/>
    <n v="14"/>
    <n v="3"/>
    <n v="1"/>
    <n v="80"/>
    <n v="2"/>
    <n v="13"/>
    <n v="3"/>
    <n v="3"/>
    <x v="12"/>
    <n v="7"/>
    <n v="5"/>
    <n v="7"/>
  </r>
  <r>
    <n v="51"/>
    <x v="1"/>
    <s v="Travel_Rarely"/>
    <n v="942"/>
    <x v="1"/>
    <x v="3"/>
    <n v="3"/>
    <s v="Technical Degree"/>
    <n v="1"/>
    <n v="1786"/>
    <n v="1"/>
    <x v="0"/>
    <n v="53"/>
    <n v="3"/>
    <x v="2"/>
    <x v="5"/>
    <n v="3"/>
    <s v="Married"/>
    <n v="13116"/>
    <n v="22984"/>
    <n v="2"/>
    <s v="Y"/>
    <x v="1"/>
    <n v="11"/>
    <n v="3"/>
    <n v="4"/>
    <n v="80"/>
    <n v="0"/>
    <n v="15"/>
    <n v="2"/>
    <n v="3"/>
    <x v="4"/>
    <n v="2"/>
    <n v="2"/>
    <n v="2"/>
  </r>
  <r>
    <n v="37"/>
    <x v="1"/>
    <s v="Travel_Rarely"/>
    <n v="589"/>
    <x v="0"/>
    <x v="14"/>
    <n v="2"/>
    <s v="Marketing"/>
    <n v="1"/>
    <n v="1787"/>
    <n v="2"/>
    <x v="1"/>
    <n v="46"/>
    <n v="2"/>
    <x v="0"/>
    <x v="0"/>
    <n v="2"/>
    <s v="Married"/>
    <n v="4189"/>
    <n v="8800"/>
    <n v="1"/>
    <s v="Y"/>
    <x v="1"/>
    <n v="14"/>
    <n v="3"/>
    <n v="1"/>
    <n v="80"/>
    <n v="2"/>
    <n v="5"/>
    <n v="2"/>
    <n v="3"/>
    <x v="8"/>
    <n v="2"/>
    <n v="0"/>
    <n v="3"/>
  </r>
  <r>
    <n v="46"/>
    <x v="1"/>
    <s v="Travel_Rarely"/>
    <n v="734"/>
    <x v="1"/>
    <x v="2"/>
    <n v="4"/>
    <s v="Medical"/>
    <n v="1"/>
    <n v="1789"/>
    <n v="3"/>
    <x v="1"/>
    <n v="46"/>
    <n v="3"/>
    <x v="4"/>
    <x v="7"/>
    <n v="4"/>
    <s v="Divorced"/>
    <n v="19328"/>
    <n v="14218"/>
    <n v="7"/>
    <s v="Y"/>
    <x v="0"/>
    <n v="17"/>
    <n v="3"/>
    <n v="3"/>
    <n v="80"/>
    <n v="1"/>
    <n v="24"/>
    <n v="3"/>
    <n v="3"/>
    <x v="4"/>
    <n v="1"/>
    <n v="2"/>
    <n v="2"/>
  </r>
  <r>
    <n v="36"/>
    <x v="1"/>
    <s v="Travel_Rarely"/>
    <n v="1383"/>
    <x v="1"/>
    <x v="17"/>
    <n v="3"/>
    <s v="Life Sciences"/>
    <n v="1"/>
    <n v="1790"/>
    <n v="4"/>
    <x v="1"/>
    <n v="90"/>
    <n v="3"/>
    <x v="2"/>
    <x v="4"/>
    <n v="1"/>
    <s v="Married"/>
    <n v="8321"/>
    <n v="25949"/>
    <n v="7"/>
    <s v="Y"/>
    <x v="0"/>
    <n v="13"/>
    <n v="3"/>
    <n v="4"/>
    <n v="80"/>
    <n v="1"/>
    <n v="15"/>
    <n v="1"/>
    <n v="3"/>
    <x v="12"/>
    <n v="8"/>
    <n v="5"/>
    <n v="7"/>
  </r>
  <r>
    <n v="44"/>
    <x v="0"/>
    <s v="Travel_Frequently"/>
    <n v="429"/>
    <x v="1"/>
    <x v="0"/>
    <n v="2"/>
    <s v="Medical"/>
    <n v="1"/>
    <n v="1792"/>
    <n v="3"/>
    <x v="1"/>
    <n v="99"/>
    <n v="3"/>
    <x v="1"/>
    <x v="1"/>
    <n v="2"/>
    <s v="Divorced"/>
    <n v="2342"/>
    <n v="11092"/>
    <n v="1"/>
    <s v="Y"/>
    <x v="0"/>
    <n v="12"/>
    <n v="3"/>
    <n v="3"/>
    <n v="80"/>
    <n v="3"/>
    <n v="6"/>
    <n v="2"/>
    <n v="2"/>
    <x v="8"/>
    <n v="3"/>
    <n v="2"/>
    <n v="3"/>
  </r>
  <r>
    <n v="37"/>
    <x v="1"/>
    <s v="Travel_Rarely"/>
    <n v="1239"/>
    <x v="2"/>
    <x v="1"/>
    <n v="2"/>
    <s v="Other"/>
    <n v="1"/>
    <n v="1794"/>
    <n v="3"/>
    <x v="1"/>
    <n v="89"/>
    <n v="3"/>
    <x v="0"/>
    <x v="8"/>
    <n v="2"/>
    <s v="Divorced"/>
    <n v="4071"/>
    <n v="12832"/>
    <n v="2"/>
    <s v="Y"/>
    <x v="1"/>
    <n v="13"/>
    <n v="3"/>
    <n v="3"/>
    <n v="80"/>
    <n v="0"/>
    <n v="19"/>
    <n v="4"/>
    <n v="2"/>
    <x v="1"/>
    <n v="0"/>
    <n v="4"/>
    <n v="7"/>
  </r>
  <r>
    <n v="35"/>
    <x v="0"/>
    <s v="Travel_Rarely"/>
    <n v="303"/>
    <x v="0"/>
    <x v="6"/>
    <n v="3"/>
    <s v="Life Sciences"/>
    <n v="1"/>
    <n v="1797"/>
    <n v="3"/>
    <x v="1"/>
    <n v="84"/>
    <n v="3"/>
    <x v="0"/>
    <x v="0"/>
    <n v="4"/>
    <s v="Single"/>
    <n v="5813"/>
    <n v="13492"/>
    <n v="1"/>
    <s v="Y"/>
    <x v="0"/>
    <n v="18"/>
    <n v="3"/>
    <n v="4"/>
    <n v="80"/>
    <n v="0"/>
    <n v="10"/>
    <n v="2"/>
    <n v="3"/>
    <x v="1"/>
    <n v="7"/>
    <n v="7"/>
    <n v="7"/>
  </r>
  <r>
    <n v="33"/>
    <x v="1"/>
    <s v="Travel_Rarely"/>
    <n v="867"/>
    <x v="1"/>
    <x v="1"/>
    <n v="4"/>
    <s v="Life Sciences"/>
    <n v="1"/>
    <n v="1798"/>
    <n v="4"/>
    <x v="1"/>
    <n v="90"/>
    <n v="4"/>
    <x v="1"/>
    <x v="1"/>
    <n v="1"/>
    <s v="Married"/>
    <n v="3143"/>
    <n v="6076"/>
    <n v="6"/>
    <s v="Y"/>
    <x v="1"/>
    <n v="19"/>
    <n v="3"/>
    <n v="2"/>
    <n v="80"/>
    <n v="1"/>
    <n v="14"/>
    <n v="1"/>
    <n v="3"/>
    <x v="1"/>
    <n v="8"/>
    <n v="7"/>
    <n v="6"/>
  </r>
  <r>
    <n v="28"/>
    <x v="1"/>
    <s v="Travel_Rarely"/>
    <n v="1181"/>
    <x v="1"/>
    <x v="0"/>
    <n v="3"/>
    <s v="Life Sciences"/>
    <n v="1"/>
    <n v="1799"/>
    <n v="3"/>
    <x v="1"/>
    <n v="82"/>
    <n v="3"/>
    <x v="1"/>
    <x v="1"/>
    <n v="4"/>
    <s v="Married"/>
    <n v="2044"/>
    <n v="5531"/>
    <n v="1"/>
    <s v="Y"/>
    <x v="1"/>
    <n v="11"/>
    <n v="3"/>
    <n v="3"/>
    <n v="80"/>
    <n v="1"/>
    <n v="5"/>
    <n v="6"/>
    <n v="4"/>
    <x v="8"/>
    <n v="3"/>
    <n v="0"/>
    <n v="3"/>
  </r>
  <r>
    <n v="39"/>
    <x v="1"/>
    <s v="Travel_Rarely"/>
    <n v="1253"/>
    <x v="1"/>
    <x v="17"/>
    <n v="1"/>
    <s v="Medical"/>
    <n v="1"/>
    <n v="1800"/>
    <n v="3"/>
    <x v="1"/>
    <n v="65"/>
    <n v="3"/>
    <x v="2"/>
    <x v="7"/>
    <n v="3"/>
    <s v="Single"/>
    <n v="13464"/>
    <n v="7914"/>
    <n v="7"/>
    <s v="Y"/>
    <x v="1"/>
    <n v="21"/>
    <n v="4"/>
    <n v="3"/>
    <n v="80"/>
    <n v="0"/>
    <n v="9"/>
    <n v="3"/>
    <n v="3"/>
    <x v="9"/>
    <n v="3"/>
    <n v="2"/>
    <n v="2"/>
  </r>
  <r>
    <n v="46"/>
    <x v="1"/>
    <s v="Non-Travel"/>
    <n v="849"/>
    <x v="0"/>
    <x v="9"/>
    <n v="2"/>
    <s v="Life Sciences"/>
    <n v="1"/>
    <n v="1801"/>
    <n v="2"/>
    <x v="1"/>
    <n v="98"/>
    <n v="2"/>
    <x v="0"/>
    <x v="0"/>
    <n v="2"/>
    <s v="Single"/>
    <n v="7991"/>
    <n v="25166"/>
    <n v="8"/>
    <s v="Y"/>
    <x v="1"/>
    <n v="15"/>
    <n v="3"/>
    <n v="3"/>
    <n v="80"/>
    <n v="0"/>
    <n v="6"/>
    <n v="3"/>
    <n v="3"/>
    <x v="4"/>
    <n v="2"/>
    <n v="2"/>
    <n v="2"/>
  </r>
  <r>
    <n v="40"/>
    <x v="1"/>
    <s v="Travel_Rarely"/>
    <n v="616"/>
    <x v="1"/>
    <x v="2"/>
    <n v="2"/>
    <s v="Life Sciences"/>
    <n v="1"/>
    <n v="1802"/>
    <n v="3"/>
    <x v="0"/>
    <n v="99"/>
    <n v="3"/>
    <x v="1"/>
    <x v="2"/>
    <n v="1"/>
    <s v="Married"/>
    <n v="3377"/>
    <n v="25605"/>
    <n v="4"/>
    <s v="Y"/>
    <x v="1"/>
    <n v="17"/>
    <n v="3"/>
    <n v="4"/>
    <n v="80"/>
    <n v="1"/>
    <n v="7"/>
    <n v="5"/>
    <n v="2"/>
    <x v="9"/>
    <n v="3"/>
    <n v="0"/>
    <n v="2"/>
  </r>
  <r>
    <n v="42"/>
    <x v="1"/>
    <s v="Travel_Rarely"/>
    <n v="1128"/>
    <x v="1"/>
    <x v="28"/>
    <n v="3"/>
    <s v="Medical"/>
    <n v="1"/>
    <n v="1803"/>
    <n v="2"/>
    <x v="1"/>
    <n v="95"/>
    <n v="4"/>
    <x v="0"/>
    <x v="4"/>
    <n v="1"/>
    <s v="Married"/>
    <n v="5538"/>
    <n v="5696"/>
    <n v="5"/>
    <s v="Y"/>
    <x v="1"/>
    <n v="18"/>
    <n v="3"/>
    <n v="3"/>
    <n v="80"/>
    <n v="2"/>
    <n v="10"/>
    <n v="2"/>
    <n v="2"/>
    <x v="2"/>
    <n v="0"/>
    <n v="0"/>
    <n v="0"/>
  </r>
  <r>
    <n v="35"/>
    <x v="1"/>
    <s v="Non-Travel"/>
    <n v="1180"/>
    <x v="1"/>
    <x v="2"/>
    <n v="2"/>
    <s v="Medical"/>
    <n v="1"/>
    <n v="1804"/>
    <n v="2"/>
    <x v="1"/>
    <n v="90"/>
    <n v="3"/>
    <x v="0"/>
    <x v="3"/>
    <n v="4"/>
    <s v="Divorced"/>
    <n v="5762"/>
    <n v="24442"/>
    <n v="2"/>
    <s v="Y"/>
    <x v="1"/>
    <n v="14"/>
    <n v="3"/>
    <n v="3"/>
    <n v="80"/>
    <n v="1"/>
    <n v="15"/>
    <n v="6"/>
    <n v="3"/>
    <x v="5"/>
    <n v="7"/>
    <n v="1"/>
    <n v="7"/>
  </r>
  <r>
    <n v="38"/>
    <x v="1"/>
    <s v="Non-Travel"/>
    <n v="1336"/>
    <x v="2"/>
    <x v="2"/>
    <n v="3"/>
    <s v="Human Resources"/>
    <n v="1"/>
    <n v="1805"/>
    <n v="1"/>
    <x v="1"/>
    <n v="100"/>
    <n v="3"/>
    <x v="1"/>
    <x v="8"/>
    <n v="2"/>
    <s v="Divorced"/>
    <n v="2592"/>
    <n v="7129"/>
    <n v="5"/>
    <s v="Y"/>
    <x v="1"/>
    <n v="13"/>
    <n v="3"/>
    <n v="4"/>
    <n v="80"/>
    <n v="3"/>
    <n v="13"/>
    <n v="3"/>
    <n v="3"/>
    <x v="19"/>
    <n v="10"/>
    <n v="3"/>
    <n v="8"/>
  </r>
  <r>
    <n v="34"/>
    <x v="0"/>
    <s v="Travel_Frequently"/>
    <n v="234"/>
    <x v="1"/>
    <x v="14"/>
    <n v="4"/>
    <s v="Life Sciences"/>
    <n v="1"/>
    <n v="1807"/>
    <n v="4"/>
    <x v="1"/>
    <n v="93"/>
    <n v="3"/>
    <x v="0"/>
    <x v="2"/>
    <n v="1"/>
    <s v="Married"/>
    <n v="5346"/>
    <n v="6208"/>
    <n v="4"/>
    <s v="Y"/>
    <x v="1"/>
    <n v="17"/>
    <n v="3"/>
    <n v="3"/>
    <n v="80"/>
    <n v="1"/>
    <n v="11"/>
    <n v="3"/>
    <n v="2"/>
    <x v="5"/>
    <n v="1"/>
    <n v="0"/>
    <n v="7"/>
  </r>
  <r>
    <n v="37"/>
    <x v="0"/>
    <s v="Travel_Rarely"/>
    <n v="370"/>
    <x v="1"/>
    <x v="17"/>
    <n v="4"/>
    <s v="Medical"/>
    <n v="1"/>
    <n v="1809"/>
    <n v="4"/>
    <x v="1"/>
    <n v="58"/>
    <n v="3"/>
    <x v="0"/>
    <x v="3"/>
    <n v="1"/>
    <s v="Single"/>
    <n v="4213"/>
    <n v="4992"/>
    <n v="1"/>
    <s v="Y"/>
    <x v="1"/>
    <n v="15"/>
    <n v="3"/>
    <n v="2"/>
    <n v="80"/>
    <n v="0"/>
    <n v="10"/>
    <n v="4"/>
    <n v="1"/>
    <x v="1"/>
    <n v="3"/>
    <n v="0"/>
    <n v="8"/>
  </r>
  <r>
    <n v="39"/>
    <x v="1"/>
    <s v="Travel_Frequently"/>
    <n v="766"/>
    <x v="0"/>
    <x v="25"/>
    <n v="3"/>
    <s v="Life Sciences"/>
    <n v="1"/>
    <n v="1812"/>
    <n v="3"/>
    <x v="1"/>
    <n v="83"/>
    <n v="3"/>
    <x v="0"/>
    <x v="0"/>
    <n v="4"/>
    <s v="Divorced"/>
    <n v="4127"/>
    <n v="19188"/>
    <n v="2"/>
    <s v="Y"/>
    <x v="1"/>
    <n v="18"/>
    <n v="3"/>
    <n v="4"/>
    <n v="80"/>
    <n v="1"/>
    <n v="7"/>
    <n v="6"/>
    <n v="3"/>
    <x v="4"/>
    <n v="1"/>
    <n v="2"/>
    <n v="2"/>
  </r>
  <r>
    <n v="43"/>
    <x v="1"/>
    <s v="Non-Travel"/>
    <n v="343"/>
    <x v="1"/>
    <x v="14"/>
    <n v="3"/>
    <s v="Life Sciences"/>
    <n v="1"/>
    <n v="1813"/>
    <n v="1"/>
    <x v="1"/>
    <n v="52"/>
    <n v="3"/>
    <x v="1"/>
    <x v="1"/>
    <n v="3"/>
    <s v="Single"/>
    <n v="2438"/>
    <n v="24978"/>
    <n v="4"/>
    <s v="Y"/>
    <x v="1"/>
    <n v="13"/>
    <n v="3"/>
    <n v="3"/>
    <n v="80"/>
    <n v="0"/>
    <n v="7"/>
    <n v="2"/>
    <n v="2"/>
    <x v="11"/>
    <n v="2"/>
    <n v="1"/>
    <n v="2"/>
  </r>
  <r>
    <n v="41"/>
    <x v="1"/>
    <s v="Travel_Rarely"/>
    <n v="447"/>
    <x v="1"/>
    <x v="12"/>
    <n v="3"/>
    <s v="Life Sciences"/>
    <n v="1"/>
    <n v="1814"/>
    <n v="2"/>
    <x v="1"/>
    <n v="85"/>
    <n v="4"/>
    <x v="0"/>
    <x v="4"/>
    <n v="2"/>
    <s v="Single"/>
    <n v="6870"/>
    <n v="15530"/>
    <n v="3"/>
    <s v="Y"/>
    <x v="1"/>
    <n v="12"/>
    <n v="3"/>
    <n v="1"/>
    <n v="80"/>
    <n v="0"/>
    <n v="11"/>
    <n v="3"/>
    <n v="1"/>
    <x v="11"/>
    <n v="2"/>
    <n v="1"/>
    <n v="2"/>
  </r>
  <r>
    <n v="41"/>
    <x v="1"/>
    <s v="Travel_Rarely"/>
    <n v="796"/>
    <x v="0"/>
    <x v="18"/>
    <n v="1"/>
    <s v="Marketing"/>
    <n v="1"/>
    <n v="1815"/>
    <n v="3"/>
    <x v="0"/>
    <n v="81"/>
    <n v="3"/>
    <x v="2"/>
    <x v="0"/>
    <n v="3"/>
    <s v="Divorced"/>
    <n v="10447"/>
    <n v="26458"/>
    <n v="0"/>
    <s v="Y"/>
    <x v="0"/>
    <n v="13"/>
    <n v="3"/>
    <n v="4"/>
    <n v="80"/>
    <n v="1"/>
    <n v="23"/>
    <n v="3"/>
    <n v="4"/>
    <x v="14"/>
    <n v="14"/>
    <n v="13"/>
    <n v="5"/>
  </r>
  <r>
    <n v="30"/>
    <x v="1"/>
    <s v="Travel_Rarely"/>
    <n v="1092"/>
    <x v="1"/>
    <x v="17"/>
    <n v="3"/>
    <s v="Medical"/>
    <n v="1"/>
    <n v="1816"/>
    <n v="1"/>
    <x v="0"/>
    <n v="64"/>
    <n v="3"/>
    <x v="2"/>
    <x v="3"/>
    <n v="3"/>
    <s v="Single"/>
    <n v="9667"/>
    <n v="2739"/>
    <n v="9"/>
    <s v="Y"/>
    <x v="1"/>
    <n v="14"/>
    <n v="3"/>
    <n v="2"/>
    <n v="80"/>
    <n v="0"/>
    <n v="9"/>
    <n v="3"/>
    <n v="3"/>
    <x v="5"/>
    <n v="7"/>
    <n v="0"/>
    <n v="2"/>
  </r>
  <r>
    <n v="26"/>
    <x v="0"/>
    <s v="Travel_Rarely"/>
    <n v="920"/>
    <x v="2"/>
    <x v="25"/>
    <n v="2"/>
    <s v="Medical"/>
    <n v="1"/>
    <n v="1818"/>
    <n v="4"/>
    <x v="0"/>
    <n v="69"/>
    <n v="3"/>
    <x v="1"/>
    <x v="8"/>
    <n v="2"/>
    <s v="Married"/>
    <n v="2148"/>
    <n v="6889"/>
    <n v="0"/>
    <s v="Y"/>
    <x v="0"/>
    <n v="11"/>
    <n v="3"/>
    <n v="3"/>
    <n v="80"/>
    <n v="0"/>
    <n v="6"/>
    <n v="3"/>
    <n v="3"/>
    <x v="8"/>
    <n v="1"/>
    <n v="1"/>
    <n v="4"/>
  </r>
  <r>
    <n v="46"/>
    <x v="0"/>
    <s v="Travel_Rarely"/>
    <n v="261"/>
    <x v="1"/>
    <x v="11"/>
    <n v="2"/>
    <s v="Medical"/>
    <n v="1"/>
    <n v="1821"/>
    <n v="4"/>
    <x v="0"/>
    <n v="66"/>
    <n v="3"/>
    <x v="0"/>
    <x v="4"/>
    <n v="2"/>
    <s v="Married"/>
    <n v="8926"/>
    <n v="10842"/>
    <n v="4"/>
    <s v="Y"/>
    <x v="1"/>
    <n v="22"/>
    <n v="4"/>
    <n v="4"/>
    <n v="80"/>
    <n v="1"/>
    <n v="13"/>
    <n v="2"/>
    <n v="4"/>
    <x v="7"/>
    <n v="7"/>
    <n v="3"/>
    <n v="7"/>
  </r>
  <r>
    <n v="40"/>
    <x v="1"/>
    <s v="Travel_Rarely"/>
    <n v="1194"/>
    <x v="1"/>
    <x v="0"/>
    <n v="3"/>
    <s v="Life Sciences"/>
    <n v="1"/>
    <n v="1822"/>
    <n v="3"/>
    <x v="0"/>
    <n v="52"/>
    <n v="3"/>
    <x v="0"/>
    <x v="4"/>
    <n v="4"/>
    <s v="Divorced"/>
    <n v="6513"/>
    <n v="9060"/>
    <n v="4"/>
    <s v="Y"/>
    <x v="1"/>
    <n v="17"/>
    <n v="3"/>
    <n v="4"/>
    <n v="80"/>
    <n v="1"/>
    <n v="12"/>
    <n v="3"/>
    <n v="3"/>
    <x v="8"/>
    <n v="3"/>
    <n v="0"/>
    <n v="3"/>
  </r>
  <r>
    <n v="34"/>
    <x v="1"/>
    <s v="Travel_Rarely"/>
    <n v="810"/>
    <x v="0"/>
    <x v="1"/>
    <n v="2"/>
    <s v="Technical Degree"/>
    <n v="1"/>
    <n v="1823"/>
    <n v="2"/>
    <x v="1"/>
    <n v="92"/>
    <n v="4"/>
    <x v="0"/>
    <x v="0"/>
    <n v="3"/>
    <s v="Married"/>
    <n v="6799"/>
    <n v="22128"/>
    <n v="1"/>
    <s v="Y"/>
    <x v="1"/>
    <n v="21"/>
    <n v="4"/>
    <n v="3"/>
    <n v="80"/>
    <n v="2"/>
    <n v="10"/>
    <n v="5"/>
    <n v="3"/>
    <x v="1"/>
    <n v="8"/>
    <n v="4"/>
    <n v="8"/>
  </r>
  <r>
    <n v="58"/>
    <x v="1"/>
    <s v="Non-Travel"/>
    <n v="350"/>
    <x v="0"/>
    <x v="2"/>
    <n v="3"/>
    <s v="Medical"/>
    <n v="1"/>
    <n v="1824"/>
    <n v="2"/>
    <x v="1"/>
    <n v="52"/>
    <n v="3"/>
    <x v="3"/>
    <x v="5"/>
    <n v="2"/>
    <s v="Divorced"/>
    <n v="16291"/>
    <n v="22577"/>
    <n v="4"/>
    <s v="Y"/>
    <x v="1"/>
    <n v="22"/>
    <n v="4"/>
    <n v="4"/>
    <n v="80"/>
    <n v="1"/>
    <n v="37"/>
    <n v="0"/>
    <n v="2"/>
    <x v="22"/>
    <n v="9"/>
    <n v="14"/>
    <n v="14"/>
  </r>
  <r>
    <n v="35"/>
    <x v="1"/>
    <s v="Travel_Rarely"/>
    <n v="185"/>
    <x v="1"/>
    <x v="5"/>
    <n v="4"/>
    <s v="Medical"/>
    <n v="1"/>
    <n v="1826"/>
    <n v="2"/>
    <x v="1"/>
    <n v="91"/>
    <n v="1"/>
    <x v="1"/>
    <x v="2"/>
    <n v="3"/>
    <s v="Married"/>
    <n v="2705"/>
    <n v="9696"/>
    <n v="0"/>
    <s v="Y"/>
    <x v="1"/>
    <n v="16"/>
    <n v="3"/>
    <n v="2"/>
    <n v="80"/>
    <n v="1"/>
    <n v="6"/>
    <n v="2"/>
    <n v="4"/>
    <x v="8"/>
    <n v="4"/>
    <n v="0"/>
    <n v="3"/>
  </r>
  <r>
    <n v="47"/>
    <x v="1"/>
    <s v="Travel_Rarely"/>
    <n v="1001"/>
    <x v="1"/>
    <x v="18"/>
    <n v="3"/>
    <s v="Life Sciences"/>
    <n v="1"/>
    <n v="1827"/>
    <n v="3"/>
    <x v="0"/>
    <n v="92"/>
    <n v="2"/>
    <x v="2"/>
    <x v="3"/>
    <n v="2"/>
    <s v="Divorced"/>
    <n v="10333"/>
    <n v="19271"/>
    <n v="8"/>
    <s v="Y"/>
    <x v="0"/>
    <n v="12"/>
    <n v="3"/>
    <n v="3"/>
    <n v="80"/>
    <n v="1"/>
    <n v="28"/>
    <n v="4"/>
    <n v="3"/>
    <x v="14"/>
    <n v="11"/>
    <n v="14"/>
    <n v="10"/>
  </r>
  <r>
    <n v="40"/>
    <x v="1"/>
    <s v="Travel_Rarely"/>
    <n v="750"/>
    <x v="1"/>
    <x v="20"/>
    <n v="3"/>
    <s v="Life Sciences"/>
    <n v="1"/>
    <n v="1829"/>
    <n v="2"/>
    <x v="0"/>
    <n v="47"/>
    <n v="3"/>
    <x v="0"/>
    <x v="4"/>
    <n v="1"/>
    <s v="Divorced"/>
    <n v="4448"/>
    <n v="10748"/>
    <n v="2"/>
    <s v="Y"/>
    <x v="1"/>
    <n v="12"/>
    <n v="3"/>
    <n v="2"/>
    <n v="80"/>
    <n v="1"/>
    <n v="15"/>
    <n v="3"/>
    <n v="3"/>
    <x v="5"/>
    <n v="4"/>
    <n v="7"/>
    <n v="7"/>
  </r>
  <r>
    <n v="54"/>
    <x v="1"/>
    <s v="Travel_Rarely"/>
    <n v="431"/>
    <x v="1"/>
    <x v="15"/>
    <n v="4"/>
    <s v="Medical"/>
    <n v="1"/>
    <n v="1830"/>
    <n v="4"/>
    <x v="0"/>
    <n v="68"/>
    <n v="3"/>
    <x v="0"/>
    <x v="1"/>
    <n v="4"/>
    <s v="Married"/>
    <n v="6854"/>
    <n v="15696"/>
    <n v="4"/>
    <s v="Y"/>
    <x v="1"/>
    <n v="15"/>
    <n v="3"/>
    <n v="2"/>
    <n v="80"/>
    <n v="1"/>
    <n v="14"/>
    <n v="2"/>
    <n v="2"/>
    <x v="5"/>
    <n v="1"/>
    <n v="1"/>
    <n v="7"/>
  </r>
  <r>
    <n v="31"/>
    <x v="1"/>
    <s v="Travel_Frequently"/>
    <n v="1125"/>
    <x v="0"/>
    <x v="15"/>
    <n v="4"/>
    <s v="Marketing"/>
    <n v="1"/>
    <n v="1833"/>
    <n v="1"/>
    <x v="0"/>
    <n v="68"/>
    <n v="3"/>
    <x v="2"/>
    <x v="0"/>
    <n v="1"/>
    <s v="Married"/>
    <n v="9637"/>
    <n v="8277"/>
    <n v="2"/>
    <s v="Y"/>
    <x v="1"/>
    <n v="14"/>
    <n v="3"/>
    <n v="4"/>
    <n v="80"/>
    <n v="2"/>
    <n v="9"/>
    <n v="3"/>
    <n v="3"/>
    <x v="11"/>
    <n v="2"/>
    <n v="2"/>
    <n v="2"/>
  </r>
  <r>
    <n v="28"/>
    <x v="1"/>
    <s v="Travel_Rarely"/>
    <n v="1217"/>
    <x v="1"/>
    <x v="0"/>
    <n v="3"/>
    <s v="Medical"/>
    <n v="1"/>
    <n v="1834"/>
    <n v="3"/>
    <x v="0"/>
    <n v="67"/>
    <n v="3"/>
    <x v="1"/>
    <x v="1"/>
    <n v="1"/>
    <s v="Married"/>
    <n v="3591"/>
    <n v="12719"/>
    <n v="1"/>
    <s v="Y"/>
    <x v="1"/>
    <n v="25"/>
    <n v="4"/>
    <n v="3"/>
    <n v="80"/>
    <n v="1"/>
    <n v="3"/>
    <n v="3"/>
    <n v="3"/>
    <x v="11"/>
    <n v="2"/>
    <n v="1"/>
    <n v="2"/>
  </r>
  <r>
    <n v="38"/>
    <x v="1"/>
    <s v="Travel_Rarely"/>
    <n v="723"/>
    <x v="0"/>
    <x v="2"/>
    <n v="4"/>
    <s v="Marketing"/>
    <n v="1"/>
    <n v="1835"/>
    <n v="2"/>
    <x v="0"/>
    <n v="77"/>
    <n v="1"/>
    <x v="0"/>
    <x v="6"/>
    <n v="4"/>
    <s v="Married"/>
    <n v="5405"/>
    <n v="4244"/>
    <n v="2"/>
    <s v="Y"/>
    <x v="0"/>
    <n v="20"/>
    <n v="4"/>
    <n v="1"/>
    <n v="80"/>
    <n v="2"/>
    <n v="20"/>
    <n v="4"/>
    <n v="2"/>
    <x v="9"/>
    <n v="2"/>
    <n v="0"/>
    <n v="3"/>
  </r>
  <r>
    <n v="26"/>
    <x v="1"/>
    <s v="Travel_Rarely"/>
    <n v="572"/>
    <x v="0"/>
    <x v="17"/>
    <n v="3"/>
    <s v="Medical"/>
    <n v="1"/>
    <n v="1836"/>
    <n v="3"/>
    <x v="1"/>
    <n v="46"/>
    <n v="3"/>
    <x v="0"/>
    <x v="0"/>
    <n v="4"/>
    <s v="Single"/>
    <n v="4684"/>
    <n v="9125"/>
    <n v="1"/>
    <s v="Y"/>
    <x v="1"/>
    <n v="13"/>
    <n v="3"/>
    <n v="1"/>
    <n v="80"/>
    <n v="0"/>
    <n v="5"/>
    <n v="4"/>
    <n v="3"/>
    <x v="8"/>
    <n v="3"/>
    <n v="1"/>
    <n v="2"/>
  </r>
  <r>
    <n v="58"/>
    <x v="1"/>
    <s v="Travel_Frequently"/>
    <n v="1216"/>
    <x v="1"/>
    <x v="8"/>
    <n v="4"/>
    <s v="Life Sciences"/>
    <n v="1"/>
    <n v="1837"/>
    <n v="1"/>
    <x v="1"/>
    <n v="87"/>
    <n v="3"/>
    <x v="3"/>
    <x v="7"/>
    <n v="3"/>
    <s v="Married"/>
    <n v="15787"/>
    <n v="21624"/>
    <n v="2"/>
    <s v="Y"/>
    <x v="0"/>
    <n v="14"/>
    <n v="3"/>
    <n v="2"/>
    <n v="80"/>
    <n v="0"/>
    <n v="23"/>
    <n v="3"/>
    <n v="3"/>
    <x v="4"/>
    <n v="2"/>
    <n v="2"/>
    <n v="2"/>
  </r>
  <r>
    <n v="18"/>
    <x v="1"/>
    <s v="Non-Travel"/>
    <n v="1431"/>
    <x v="1"/>
    <x v="24"/>
    <n v="3"/>
    <s v="Medical"/>
    <n v="1"/>
    <n v="1839"/>
    <n v="2"/>
    <x v="0"/>
    <n v="33"/>
    <n v="3"/>
    <x v="1"/>
    <x v="1"/>
    <n v="3"/>
    <s v="Single"/>
    <n v="1514"/>
    <n v="8018"/>
    <n v="1"/>
    <s v="Y"/>
    <x v="1"/>
    <n v="16"/>
    <n v="3"/>
    <n v="3"/>
    <n v="80"/>
    <n v="0"/>
    <n v="0"/>
    <n v="4"/>
    <n v="1"/>
    <x v="2"/>
    <n v="0"/>
    <n v="0"/>
    <n v="0"/>
  </r>
  <r>
    <n v="31"/>
    <x v="0"/>
    <s v="Travel_Rarely"/>
    <n v="359"/>
    <x v="2"/>
    <x v="21"/>
    <n v="5"/>
    <s v="Human Resources"/>
    <n v="1"/>
    <n v="1842"/>
    <n v="4"/>
    <x v="1"/>
    <n v="89"/>
    <n v="4"/>
    <x v="1"/>
    <x v="8"/>
    <n v="1"/>
    <s v="Married"/>
    <n v="2956"/>
    <n v="21495"/>
    <n v="0"/>
    <s v="Y"/>
    <x v="1"/>
    <n v="17"/>
    <n v="3"/>
    <n v="3"/>
    <n v="80"/>
    <n v="0"/>
    <n v="2"/>
    <n v="4"/>
    <n v="3"/>
    <x v="6"/>
    <n v="0"/>
    <n v="0"/>
    <n v="0"/>
  </r>
  <r>
    <n v="29"/>
    <x v="0"/>
    <s v="Travel_Rarely"/>
    <n v="350"/>
    <x v="2"/>
    <x v="28"/>
    <n v="3"/>
    <s v="Human Resources"/>
    <n v="1"/>
    <n v="1844"/>
    <n v="1"/>
    <x v="1"/>
    <n v="56"/>
    <n v="2"/>
    <x v="1"/>
    <x v="8"/>
    <n v="1"/>
    <s v="Divorced"/>
    <n v="2335"/>
    <n v="3157"/>
    <n v="4"/>
    <s v="Y"/>
    <x v="0"/>
    <n v="15"/>
    <n v="3"/>
    <n v="4"/>
    <n v="80"/>
    <n v="3"/>
    <n v="4"/>
    <n v="3"/>
    <n v="3"/>
    <x v="4"/>
    <n v="2"/>
    <n v="2"/>
    <n v="0"/>
  </r>
  <r>
    <n v="45"/>
    <x v="1"/>
    <s v="Non-Travel"/>
    <n v="589"/>
    <x v="0"/>
    <x v="2"/>
    <n v="4"/>
    <s v="Life Sciences"/>
    <n v="1"/>
    <n v="1845"/>
    <n v="3"/>
    <x v="0"/>
    <n v="67"/>
    <n v="3"/>
    <x v="0"/>
    <x v="0"/>
    <n v="3"/>
    <s v="Married"/>
    <n v="5154"/>
    <n v="19665"/>
    <n v="4"/>
    <s v="Y"/>
    <x v="1"/>
    <n v="22"/>
    <n v="4"/>
    <n v="2"/>
    <n v="80"/>
    <n v="2"/>
    <n v="10"/>
    <n v="3"/>
    <n v="4"/>
    <x v="3"/>
    <n v="7"/>
    <n v="5"/>
    <n v="7"/>
  </r>
  <r>
    <n v="36"/>
    <x v="1"/>
    <s v="Travel_Rarely"/>
    <n v="430"/>
    <x v="1"/>
    <x v="2"/>
    <n v="4"/>
    <s v="Other"/>
    <n v="1"/>
    <n v="1847"/>
    <n v="4"/>
    <x v="0"/>
    <n v="73"/>
    <n v="3"/>
    <x v="0"/>
    <x v="1"/>
    <n v="2"/>
    <s v="Married"/>
    <n v="6962"/>
    <n v="19573"/>
    <n v="4"/>
    <s v="Y"/>
    <x v="0"/>
    <n v="22"/>
    <n v="4"/>
    <n v="4"/>
    <n v="80"/>
    <n v="1"/>
    <n v="15"/>
    <n v="2"/>
    <n v="3"/>
    <x v="6"/>
    <n v="0"/>
    <n v="0"/>
    <n v="0"/>
  </r>
  <r>
    <n v="43"/>
    <x v="1"/>
    <s v="Travel_Frequently"/>
    <n v="1422"/>
    <x v="0"/>
    <x v="2"/>
    <n v="4"/>
    <s v="Life Sciences"/>
    <n v="1"/>
    <n v="1849"/>
    <n v="1"/>
    <x v="1"/>
    <n v="92"/>
    <n v="3"/>
    <x v="0"/>
    <x v="0"/>
    <n v="4"/>
    <s v="Married"/>
    <n v="5675"/>
    <n v="19246"/>
    <n v="1"/>
    <s v="Y"/>
    <x v="1"/>
    <n v="20"/>
    <n v="4"/>
    <n v="3"/>
    <n v="80"/>
    <n v="1"/>
    <n v="7"/>
    <n v="5"/>
    <n v="3"/>
    <x v="5"/>
    <n v="7"/>
    <n v="7"/>
    <n v="7"/>
  </r>
  <r>
    <n v="27"/>
    <x v="1"/>
    <s v="Travel_Frequently"/>
    <n v="1297"/>
    <x v="1"/>
    <x v="12"/>
    <n v="2"/>
    <s v="Life Sciences"/>
    <n v="1"/>
    <n v="1850"/>
    <n v="4"/>
    <x v="0"/>
    <n v="53"/>
    <n v="3"/>
    <x v="1"/>
    <x v="2"/>
    <n v="4"/>
    <s v="Single"/>
    <n v="2379"/>
    <n v="19826"/>
    <n v="0"/>
    <s v="Y"/>
    <x v="0"/>
    <n v="14"/>
    <n v="3"/>
    <n v="3"/>
    <n v="80"/>
    <n v="0"/>
    <n v="6"/>
    <n v="3"/>
    <n v="2"/>
    <x v="8"/>
    <n v="4"/>
    <n v="0"/>
    <n v="2"/>
  </r>
  <r>
    <n v="29"/>
    <x v="1"/>
    <s v="Travel_Frequently"/>
    <n v="574"/>
    <x v="1"/>
    <x v="25"/>
    <n v="1"/>
    <s v="Medical"/>
    <n v="1"/>
    <n v="1852"/>
    <n v="4"/>
    <x v="1"/>
    <n v="40"/>
    <n v="3"/>
    <x v="1"/>
    <x v="2"/>
    <n v="4"/>
    <s v="Married"/>
    <n v="3812"/>
    <n v="7003"/>
    <n v="1"/>
    <s v="Y"/>
    <x v="1"/>
    <n v="13"/>
    <n v="3"/>
    <n v="2"/>
    <n v="80"/>
    <n v="0"/>
    <n v="11"/>
    <n v="3"/>
    <n v="4"/>
    <x v="19"/>
    <n v="8"/>
    <n v="3"/>
    <n v="10"/>
  </r>
  <r>
    <n v="32"/>
    <x v="1"/>
    <s v="Travel_Frequently"/>
    <n v="1318"/>
    <x v="0"/>
    <x v="17"/>
    <n v="4"/>
    <s v="Marketing"/>
    <n v="1"/>
    <n v="1853"/>
    <n v="4"/>
    <x v="1"/>
    <n v="79"/>
    <n v="3"/>
    <x v="0"/>
    <x v="0"/>
    <n v="4"/>
    <s v="Single"/>
    <n v="4648"/>
    <n v="26075"/>
    <n v="8"/>
    <s v="Y"/>
    <x v="1"/>
    <n v="13"/>
    <n v="3"/>
    <n v="3"/>
    <n v="80"/>
    <n v="0"/>
    <n v="4"/>
    <n v="2"/>
    <n v="4"/>
    <x v="2"/>
    <n v="0"/>
    <n v="0"/>
    <n v="0"/>
  </r>
  <r>
    <n v="42"/>
    <x v="1"/>
    <s v="Non-Travel"/>
    <n v="355"/>
    <x v="1"/>
    <x v="17"/>
    <n v="4"/>
    <s v="Technical Degree"/>
    <n v="1"/>
    <n v="1854"/>
    <n v="3"/>
    <x v="1"/>
    <n v="38"/>
    <n v="3"/>
    <x v="1"/>
    <x v="1"/>
    <n v="3"/>
    <s v="Married"/>
    <n v="2936"/>
    <n v="6161"/>
    <n v="3"/>
    <s v="Y"/>
    <x v="1"/>
    <n v="22"/>
    <n v="4"/>
    <n v="2"/>
    <n v="80"/>
    <n v="2"/>
    <n v="10"/>
    <n v="1"/>
    <n v="2"/>
    <x v="0"/>
    <n v="3"/>
    <n v="3"/>
    <n v="3"/>
  </r>
  <r>
    <n v="47"/>
    <x v="1"/>
    <s v="Travel_Rarely"/>
    <n v="207"/>
    <x v="1"/>
    <x v="14"/>
    <n v="4"/>
    <s v="Life Sciences"/>
    <n v="1"/>
    <n v="1856"/>
    <n v="2"/>
    <x v="0"/>
    <n v="64"/>
    <n v="3"/>
    <x v="1"/>
    <x v="2"/>
    <n v="3"/>
    <s v="Single"/>
    <n v="2105"/>
    <n v="5411"/>
    <n v="4"/>
    <s v="Y"/>
    <x v="1"/>
    <n v="12"/>
    <n v="3"/>
    <n v="3"/>
    <n v="80"/>
    <n v="0"/>
    <n v="7"/>
    <n v="2"/>
    <n v="3"/>
    <x v="4"/>
    <n v="2"/>
    <n v="2"/>
    <n v="0"/>
  </r>
  <r>
    <n v="46"/>
    <x v="1"/>
    <s v="Travel_Rarely"/>
    <n v="706"/>
    <x v="1"/>
    <x v="2"/>
    <n v="2"/>
    <s v="Life Sciences"/>
    <n v="1"/>
    <n v="1857"/>
    <n v="4"/>
    <x v="1"/>
    <n v="82"/>
    <n v="3"/>
    <x v="2"/>
    <x v="3"/>
    <n v="4"/>
    <s v="Divorced"/>
    <n v="8578"/>
    <n v="19989"/>
    <n v="3"/>
    <s v="Y"/>
    <x v="1"/>
    <n v="14"/>
    <n v="3"/>
    <n v="3"/>
    <n v="80"/>
    <n v="1"/>
    <n v="12"/>
    <n v="4"/>
    <n v="2"/>
    <x v="7"/>
    <n v="8"/>
    <n v="4"/>
    <n v="7"/>
  </r>
  <r>
    <n v="28"/>
    <x v="1"/>
    <s v="Non-Travel"/>
    <n v="280"/>
    <x v="2"/>
    <x v="0"/>
    <n v="2"/>
    <s v="Life Sciences"/>
    <n v="1"/>
    <n v="1858"/>
    <n v="3"/>
    <x v="1"/>
    <n v="43"/>
    <n v="3"/>
    <x v="1"/>
    <x v="8"/>
    <n v="4"/>
    <s v="Divorced"/>
    <n v="2706"/>
    <n v="10494"/>
    <n v="1"/>
    <s v="Y"/>
    <x v="1"/>
    <n v="15"/>
    <n v="3"/>
    <n v="2"/>
    <n v="80"/>
    <n v="1"/>
    <n v="3"/>
    <n v="2"/>
    <n v="3"/>
    <x v="11"/>
    <n v="2"/>
    <n v="2"/>
    <n v="2"/>
  </r>
  <r>
    <n v="29"/>
    <x v="1"/>
    <s v="Travel_Rarely"/>
    <n v="726"/>
    <x v="1"/>
    <x v="22"/>
    <n v="1"/>
    <s v="Life Sciences"/>
    <n v="1"/>
    <n v="1859"/>
    <n v="4"/>
    <x v="1"/>
    <n v="93"/>
    <n v="1"/>
    <x v="0"/>
    <x v="4"/>
    <n v="3"/>
    <s v="Divorced"/>
    <n v="6384"/>
    <n v="21143"/>
    <n v="8"/>
    <s v="Y"/>
    <x v="1"/>
    <n v="17"/>
    <n v="3"/>
    <n v="4"/>
    <n v="80"/>
    <n v="2"/>
    <n v="11"/>
    <n v="3"/>
    <n v="3"/>
    <x v="5"/>
    <n v="0"/>
    <n v="1"/>
    <n v="6"/>
  </r>
  <r>
    <n v="42"/>
    <x v="1"/>
    <s v="Travel_Rarely"/>
    <n v="1142"/>
    <x v="1"/>
    <x v="1"/>
    <n v="3"/>
    <s v="Life Sciences"/>
    <n v="1"/>
    <n v="1860"/>
    <n v="4"/>
    <x v="1"/>
    <n v="81"/>
    <n v="3"/>
    <x v="1"/>
    <x v="2"/>
    <n v="3"/>
    <s v="Single"/>
    <n v="3968"/>
    <n v="13624"/>
    <n v="4"/>
    <s v="Y"/>
    <x v="1"/>
    <n v="13"/>
    <n v="3"/>
    <n v="4"/>
    <n v="80"/>
    <n v="0"/>
    <n v="8"/>
    <n v="3"/>
    <n v="3"/>
    <x v="2"/>
    <n v="0"/>
    <n v="0"/>
    <n v="0"/>
  </r>
  <r>
    <n v="32"/>
    <x v="0"/>
    <s v="Travel_Rarely"/>
    <n v="414"/>
    <x v="0"/>
    <x v="2"/>
    <n v="4"/>
    <s v="Marketing"/>
    <n v="1"/>
    <n v="1862"/>
    <n v="3"/>
    <x v="1"/>
    <n v="82"/>
    <n v="2"/>
    <x v="0"/>
    <x v="0"/>
    <n v="2"/>
    <s v="Single"/>
    <n v="9907"/>
    <n v="26186"/>
    <n v="7"/>
    <s v="Y"/>
    <x v="0"/>
    <n v="12"/>
    <n v="3"/>
    <n v="3"/>
    <n v="80"/>
    <n v="0"/>
    <n v="7"/>
    <n v="3"/>
    <n v="2"/>
    <x v="4"/>
    <n v="2"/>
    <n v="2"/>
    <n v="2"/>
  </r>
  <r>
    <n v="46"/>
    <x v="1"/>
    <s v="Travel_Rarely"/>
    <n v="1319"/>
    <x v="0"/>
    <x v="3"/>
    <n v="3"/>
    <s v="Technical Degree"/>
    <n v="1"/>
    <n v="1863"/>
    <n v="1"/>
    <x v="0"/>
    <n v="45"/>
    <n v="4"/>
    <x v="3"/>
    <x v="0"/>
    <n v="1"/>
    <s v="Divorced"/>
    <n v="13225"/>
    <n v="7739"/>
    <n v="2"/>
    <s v="Y"/>
    <x v="1"/>
    <n v="12"/>
    <n v="3"/>
    <n v="4"/>
    <n v="80"/>
    <n v="1"/>
    <n v="25"/>
    <n v="5"/>
    <n v="3"/>
    <x v="27"/>
    <n v="17"/>
    <n v="2"/>
    <n v="8"/>
  </r>
  <r>
    <n v="27"/>
    <x v="1"/>
    <s v="Travel_Rarely"/>
    <n v="728"/>
    <x v="0"/>
    <x v="5"/>
    <n v="1"/>
    <s v="Medical"/>
    <n v="1"/>
    <n v="1864"/>
    <n v="2"/>
    <x v="0"/>
    <n v="36"/>
    <n v="2"/>
    <x v="0"/>
    <x v="6"/>
    <n v="3"/>
    <s v="Married"/>
    <n v="3540"/>
    <n v="7018"/>
    <n v="1"/>
    <s v="Y"/>
    <x v="1"/>
    <n v="21"/>
    <n v="4"/>
    <n v="4"/>
    <n v="80"/>
    <n v="1"/>
    <n v="9"/>
    <n v="5"/>
    <n v="3"/>
    <x v="7"/>
    <n v="8"/>
    <n v="5"/>
    <n v="8"/>
  </r>
  <r>
    <n v="29"/>
    <x v="1"/>
    <s v="Travel_Rarely"/>
    <n v="352"/>
    <x v="2"/>
    <x v="16"/>
    <n v="1"/>
    <s v="Medical"/>
    <n v="1"/>
    <n v="1865"/>
    <n v="4"/>
    <x v="1"/>
    <n v="87"/>
    <n v="2"/>
    <x v="1"/>
    <x v="8"/>
    <n v="2"/>
    <s v="Married"/>
    <n v="2804"/>
    <n v="15434"/>
    <n v="1"/>
    <s v="Y"/>
    <x v="1"/>
    <n v="11"/>
    <n v="3"/>
    <n v="4"/>
    <n v="80"/>
    <n v="0"/>
    <n v="1"/>
    <n v="3"/>
    <n v="3"/>
    <x v="6"/>
    <n v="0"/>
    <n v="0"/>
    <n v="0"/>
  </r>
  <r>
    <n v="43"/>
    <x v="1"/>
    <s v="Travel_Rarely"/>
    <n v="823"/>
    <x v="1"/>
    <x v="16"/>
    <n v="3"/>
    <s v="Medical"/>
    <n v="1"/>
    <n v="1866"/>
    <n v="1"/>
    <x v="0"/>
    <n v="81"/>
    <n v="2"/>
    <x v="4"/>
    <x v="5"/>
    <n v="3"/>
    <s v="Married"/>
    <n v="19392"/>
    <n v="22539"/>
    <n v="7"/>
    <s v="Y"/>
    <x v="1"/>
    <n v="13"/>
    <n v="3"/>
    <n v="4"/>
    <n v="80"/>
    <n v="0"/>
    <n v="21"/>
    <n v="2"/>
    <n v="3"/>
    <x v="22"/>
    <n v="12"/>
    <n v="6"/>
    <n v="14"/>
  </r>
  <r>
    <n v="48"/>
    <x v="1"/>
    <s v="Travel_Rarely"/>
    <n v="1224"/>
    <x v="1"/>
    <x v="17"/>
    <n v="3"/>
    <s v="Life Sciences"/>
    <n v="1"/>
    <n v="1867"/>
    <n v="4"/>
    <x v="1"/>
    <n v="91"/>
    <n v="2"/>
    <x v="4"/>
    <x v="7"/>
    <n v="2"/>
    <s v="Married"/>
    <n v="19665"/>
    <n v="13583"/>
    <n v="4"/>
    <s v="Y"/>
    <x v="1"/>
    <n v="12"/>
    <n v="3"/>
    <n v="4"/>
    <n v="80"/>
    <n v="0"/>
    <n v="29"/>
    <n v="3"/>
    <n v="3"/>
    <x v="14"/>
    <n v="10"/>
    <n v="12"/>
    <n v="9"/>
  </r>
  <r>
    <n v="29"/>
    <x v="0"/>
    <s v="Travel_Frequently"/>
    <n v="459"/>
    <x v="1"/>
    <x v="4"/>
    <n v="2"/>
    <s v="Life Sciences"/>
    <n v="1"/>
    <n v="1868"/>
    <n v="4"/>
    <x v="1"/>
    <n v="73"/>
    <n v="2"/>
    <x v="1"/>
    <x v="1"/>
    <n v="4"/>
    <s v="Single"/>
    <n v="2439"/>
    <n v="14753"/>
    <n v="1"/>
    <s v="Y"/>
    <x v="0"/>
    <n v="24"/>
    <n v="4"/>
    <n v="2"/>
    <n v="80"/>
    <n v="0"/>
    <n v="1"/>
    <n v="3"/>
    <n v="2"/>
    <x v="6"/>
    <n v="0"/>
    <n v="1"/>
    <n v="0"/>
  </r>
  <r>
    <n v="46"/>
    <x v="0"/>
    <s v="Travel_Rarely"/>
    <n v="1254"/>
    <x v="0"/>
    <x v="17"/>
    <n v="3"/>
    <s v="Life Sciences"/>
    <n v="1"/>
    <n v="1869"/>
    <n v="3"/>
    <x v="0"/>
    <n v="64"/>
    <n v="3"/>
    <x v="2"/>
    <x v="0"/>
    <n v="2"/>
    <s v="Married"/>
    <n v="7314"/>
    <n v="14011"/>
    <n v="5"/>
    <s v="Y"/>
    <x v="1"/>
    <n v="21"/>
    <n v="4"/>
    <n v="3"/>
    <n v="80"/>
    <n v="3"/>
    <n v="14"/>
    <n v="2"/>
    <n v="3"/>
    <x v="3"/>
    <n v="7"/>
    <n v="0"/>
    <n v="7"/>
  </r>
  <r>
    <n v="27"/>
    <x v="1"/>
    <s v="Travel_Frequently"/>
    <n v="1131"/>
    <x v="1"/>
    <x v="8"/>
    <n v="3"/>
    <s v="Life Sciences"/>
    <n v="1"/>
    <n v="1870"/>
    <n v="4"/>
    <x v="0"/>
    <n v="77"/>
    <n v="2"/>
    <x v="1"/>
    <x v="1"/>
    <n v="1"/>
    <s v="Married"/>
    <n v="4774"/>
    <n v="23844"/>
    <n v="0"/>
    <s v="Y"/>
    <x v="1"/>
    <n v="19"/>
    <n v="3"/>
    <n v="4"/>
    <n v="80"/>
    <n v="1"/>
    <n v="8"/>
    <n v="2"/>
    <n v="2"/>
    <x v="5"/>
    <n v="6"/>
    <n v="7"/>
    <n v="3"/>
  </r>
  <r>
    <n v="39"/>
    <x v="1"/>
    <s v="Travel_Rarely"/>
    <n v="835"/>
    <x v="1"/>
    <x v="10"/>
    <n v="4"/>
    <s v="Other"/>
    <n v="1"/>
    <n v="1871"/>
    <n v="4"/>
    <x v="1"/>
    <n v="41"/>
    <n v="3"/>
    <x v="0"/>
    <x v="1"/>
    <n v="4"/>
    <s v="Divorced"/>
    <n v="3902"/>
    <n v="5141"/>
    <n v="8"/>
    <s v="Y"/>
    <x v="1"/>
    <n v="14"/>
    <n v="3"/>
    <n v="2"/>
    <n v="80"/>
    <n v="3"/>
    <n v="7"/>
    <n v="2"/>
    <n v="3"/>
    <x v="4"/>
    <n v="2"/>
    <n v="2"/>
    <n v="2"/>
  </r>
  <r>
    <n v="55"/>
    <x v="1"/>
    <s v="Travel_Rarely"/>
    <n v="836"/>
    <x v="1"/>
    <x v="2"/>
    <n v="4"/>
    <s v="Technical Degree"/>
    <n v="1"/>
    <n v="1873"/>
    <n v="2"/>
    <x v="1"/>
    <n v="98"/>
    <n v="2"/>
    <x v="1"/>
    <x v="1"/>
    <n v="4"/>
    <s v="Married"/>
    <n v="2662"/>
    <n v="7975"/>
    <n v="8"/>
    <s v="Y"/>
    <x v="1"/>
    <n v="20"/>
    <n v="4"/>
    <n v="2"/>
    <n v="80"/>
    <n v="1"/>
    <n v="19"/>
    <n v="2"/>
    <n v="4"/>
    <x v="8"/>
    <n v="2"/>
    <n v="0"/>
    <n v="4"/>
  </r>
  <r>
    <n v="28"/>
    <x v="1"/>
    <s v="Travel_Rarely"/>
    <n v="1172"/>
    <x v="0"/>
    <x v="3"/>
    <n v="3"/>
    <s v="Medical"/>
    <n v="1"/>
    <n v="1875"/>
    <n v="2"/>
    <x v="0"/>
    <n v="78"/>
    <n v="3"/>
    <x v="1"/>
    <x v="6"/>
    <n v="2"/>
    <s v="Married"/>
    <n v="2856"/>
    <n v="3692"/>
    <n v="1"/>
    <s v="Y"/>
    <x v="1"/>
    <n v="19"/>
    <n v="3"/>
    <n v="4"/>
    <n v="80"/>
    <n v="1"/>
    <n v="1"/>
    <n v="3"/>
    <n v="3"/>
    <x v="6"/>
    <n v="0"/>
    <n v="0"/>
    <n v="0"/>
  </r>
  <r>
    <n v="30"/>
    <x v="0"/>
    <s v="Travel_Rarely"/>
    <n v="945"/>
    <x v="0"/>
    <x v="14"/>
    <n v="3"/>
    <s v="Medical"/>
    <n v="1"/>
    <n v="1876"/>
    <n v="2"/>
    <x v="1"/>
    <n v="89"/>
    <n v="3"/>
    <x v="1"/>
    <x v="6"/>
    <n v="4"/>
    <s v="Single"/>
    <n v="1081"/>
    <n v="16019"/>
    <n v="1"/>
    <s v="Y"/>
    <x v="1"/>
    <n v="13"/>
    <n v="3"/>
    <n v="3"/>
    <n v="80"/>
    <n v="0"/>
    <n v="1"/>
    <n v="3"/>
    <n v="2"/>
    <x v="6"/>
    <n v="0"/>
    <n v="0"/>
    <n v="0"/>
  </r>
  <r>
    <n v="22"/>
    <x v="0"/>
    <s v="Travel_Rarely"/>
    <n v="391"/>
    <x v="1"/>
    <x v="15"/>
    <n v="1"/>
    <s v="Life Sciences"/>
    <n v="1"/>
    <n v="1878"/>
    <n v="4"/>
    <x v="1"/>
    <n v="75"/>
    <n v="3"/>
    <x v="1"/>
    <x v="1"/>
    <n v="2"/>
    <s v="Single"/>
    <n v="2472"/>
    <n v="26092"/>
    <n v="1"/>
    <s v="Y"/>
    <x v="0"/>
    <n v="23"/>
    <n v="4"/>
    <n v="1"/>
    <n v="80"/>
    <n v="0"/>
    <n v="1"/>
    <n v="2"/>
    <n v="3"/>
    <x v="6"/>
    <n v="0"/>
    <n v="0"/>
    <n v="0"/>
  </r>
  <r>
    <n v="36"/>
    <x v="1"/>
    <s v="Travel_Rarely"/>
    <n v="1266"/>
    <x v="0"/>
    <x v="17"/>
    <n v="4"/>
    <s v="Technical Degree"/>
    <n v="1"/>
    <n v="1880"/>
    <n v="2"/>
    <x v="0"/>
    <n v="63"/>
    <n v="2"/>
    <x v="0"/>
    <x v="0"/>
    <n v="3"/>
    <s v="Married"/>
    <n v="5673"/>
    <n v="6060"/>
    <n v="1"/>
    <s v="Y"/>
    <x v="0"/>
    <n v="13"/>
    <n v="3"/>
    <n v="1"/>
    <n v="80"/>
    <n v="1"/>
    <n v="10"/>
    <n v="4"/>
    <n v="3"/>
    <x v="1"/>
    <n v="9"/>
    <n v="1"/>
    <n v="7"/>
  </r>
  <r>
    <n v="31"/>
    <x v="1"/>
    <s v="Travel_Rarely"/>
    <n v="311"/>
    <x v="1"/>
    <x v="25"/>
    <n v="3"/>
    <s v="Life Sciences"/>
    <n v="1"/>
    <n v="1881"/>
    <n v="2"/>
    <x v="1"/>
    <n v="89"/>
    <n v="3"/>
    <x v="0"/>
    <x v="2"/>
    <n v="3"/>
    <s v="Divorced"/>
    <n v="4197"/>
    <n v="18624"/>
    <n v="1"/>
    <s v="Y"/>
    <x v="1"/>
    <n v="11"/>
    <n v="3"/>
    <n v="1"/>
    <n v="80"/>
    <n v="1"/>
    <n v="10"/>
    <n v="2"/>
    <n v="3"/>
    <x v="1"/>
    <n v="8"/>
    <n v="0"/>
    <n v="2"/>
  </r>
  <r>
    <n v="34"/>
    <x v="1"/>
    <s v="Travel_Rarely"/>
    <n v="1480"/>
    <x v="0"/>
    <x v="18"/>
    <n v="3"/>
    <s v="Life Sciences"/>
    <n v="1"/>
    <n v="1882"/>
    <n v="3"/>
    <x v="1"/>
    <n v="64"/>
    <n v="3"/>
    <x v="2"/>
    <x v="0"/>
    <n v="4"/>
    <s v="Married"/>
    <n v="9713"/>
    <n v="24444"/>
    <n v="2"/>
    <s v="Y"/>
    <x v="0"/>
    <n v="13"/>
    <n v="3"/>
    <n v="4"/>
    <n v="80"/>
    <n v="3"/>
    <n v="9"/>
    <n v="3"/>
    <n v="3"/>
    <x v="8"/>
    <n v="3"/>
    <n v="1"/>
    <n v="0"/>
  </r>
  <r>
    <n v="29"/>
    <x v="1"/>
    <s v="Travel_Rarely"/>
    <n v="592"/>
    <x v="1"/>
    <x v="15"/>
    <n v="3"/>
    <s v="Life Sciences"/>
    <n v="1"/>
    <n v="1883"/>
    <n v="4"/>
    <x v="1"/>
    <n v="59"/>
    <n v="3"/>
    <x v="1"/>
    <x v="2"/>
    <n v="1"/>
    <s v="Single"/>
    <n v="2062"/>
    <n v="19384"/>
    <n v="3"/>
    <s v="Y"/>
    <x v="1"/>
    <n v="14"/>
    <n v="3"/>
    <n v="2"/>
    <n v="80"/>
    <n v="0"/>
    <n v="11"/>
    <n v="2"/>
    <n v="3"/>
    <x v="11"/>
    <n v="2"/>
    <n v="1"/>
    <n v="2"/>
  </r>
  <r>
    <n v="37"/>
    <x v="1"/>
    <s v="Travel_Rarely"/>
    <n v="783"/>
    <x v="1"/>
    <x v="15"/>
    <n v="4"/>
    <s v="Medical"/>
    <n v="1"/>
    <n v="1885"/>
    <n v="4"/>
    <x v="1"/>
    <n v="78"/>
    <n v="3"/>
    <x v="0"/>
    <x v="1"/>
    <n v="1"/>
    <s v="Married"/>
    <n v="4284"/>
    <n v="13588"/>
    <n v="5"/>
    <s v="Y"/>
    <x v="0"/>
    <n v="22"/>
    <n v="4"/>
    <n v="3"/>
    <n v="80"/>
    <n v="1"/>
    <n v="16"/>
    <n v="2"/>
    <n v="3"/>
    <x v="8"/>
    <n v="3"/>
    <n v="0"/>
    <n v="4"/>
  </r>
  <r>
    <n v="35"/>
    <x v="1"/>
    <s v="Travel_Rarely"/>
    <n v="219"/>
    <x v="1"/>
    <x v="7"/>
    <n v="2"/>
    <s v="Other"/>
    <n v="1"/>
    <n v="1886"/>
    <n v="4"/>
    <x v="0"/>
    <n v="44"/>
    <n v="2"/>
    <x v="0"/>
    <x v="3"/>
    <n v="2"/>
    <s v="Married"/>
    <n v="4788"/>
    <n v="25388"/>
    <n v="0"/>
    <s v="Y"/>
    <x v="0"/>
    <n v="11"/>
    <n v="3"/>
    <n v="4"/>
    <n v="80"/>
    <n v="0"/>
    <n v="4"/>
    <n v="2"/>
    <n v="3"/>
    <x v="11"/>
    <n v="2"/>
    <n v="0"/>
    <n v="2"/>
  </r>
  <r>
    <n v="45"/>
    <x v="1"/>
    <s v="Travel_Rarely"/>
    <n v="556"/>
    <x v="1"/>
    <x v="19"/>
    <n v="2"/>
    <s v="Life Sciences"/>
    <n v="1"/>
    <n v="1888"/>
    <n v="2"/>
    <x v="0"/>
    <n v="93"/>
    <n v="2"/>
    <x v="0"/>
    <x v="3"/>
    <n v="4"/>
    <s v="Married"/>
    <n v="5906"/>
    <n v="23888"/>
    <n v="0"/>
    <s v="Y"/>
    <x v="1"/>
    <n v="13"/>
    <n v="3"/>
    <n v="4"/>
    <n v="80"/>
    <n v="2"/>
    <n v="10"/>
    <n v="2"/>
    <n v="2"/>
    <x v="7"/>
    <n v="8"/>
    <n v="3"/>
    <n v="8"/>
  </r>
  <r>
    <n v="36"/>
    <x v="1"/>
    <s v="Travel_Frequently"/>
    <n v="1213"/>
    <x v="2"/>
    <x v="2"/>
    <n v="1"/>
    <s v="Human Resources"/>
    <n v="1"/>
    <n v="1890"/>
    <n v="2"/>
    <x v="1"/>
    <n v="94"/>
    <n v="2"/>
    <x v="0"/>
    <x v="8"/>
    <n v="4"/>
    <s v="Single"/>
    <n v="3886"/>
    <n v="4223"/>
    <n v="1"/>
    <s v="Y"/>
    <x v="1"/>
    <n v="21"/>
    <n v="4"/>
    <n v="4"/>
    <n v="80"/>
    <n v="0"/>
    <n v="10"/>
    <n v="2"/>
    <n v="2"/>
    <x v="1"/>
    <n v="1"/>
    <n v="0"/>
    <n v="8"/>
  </r>
  <r>
    <n v="40"/>
    <x v="1"/>
    <s v="Travel_Rarely"/>
    <n v="1137"/>
    <x v="1"/>
    <x v="0"/>
    <n v="4"/>
    <s v="Life Sciences"/>
    <n v="1"/>
    <n v="1892"/>
    <n v="1"/>
    <x v="1"/>
    <n v="98"/>
    <n v="3"/>
    <x v="3"/>
    <x v="5"/>
    <n v="1"/>
    <s v="Divorced"/>
    <n v="16823"/>
    <n v="18991"/>
    <n v="2"/>
    <s v="Y"/>
    <x v="1"/>
    <n v="11"/>
    <n v="3"/>
    <n v="1"/>
    <n v="80"/>
    <n v="1"/>
    <n v="22"/>
    <n v="3"/>
    <n v="3"/>
    <x v="27"/>
    <n v="7"/>
    <n v="11"/>
    <n v="16"/>
  </r>
  <r>
    <n v="26"/>
    <x v="1"/>
    <s v="Travel_Rarely"/>
    <n v="482"/>
    <x v="1"/>
    <x v="0"/>
    <n v="2"/>
    <s v="Life Sciences"/>
    <n v="1"/>
    <n v="1893"/>
    <n v="2"/>
    <x v="0"/>
    <n v="90"/>
    <n v="2"/>
    <x v="1"/>
    <x v="1"/>
    <n v="3"/>
    <s v="Married"/>
    <n v="2933"/>
    <n v="14908"/>
    <n v="1"/>
    <s v="Y"/>
    <x v="0"/>
    <n v="13"/>
    <n v="3"/>
    <n v="3"/>
    <n v="80"/>
    <n v="1"/>
    <n v="1"/>
    <n v="3"/>
    <n v="2"/>
    <x v="6"/>
    <n v="0"/>
    <n v="1"/>
    <n v="0"/>
  </r>
  <r>
    <n v="27"/>
    <x v="1"/>
    <s v="Travel_Rarely"/>
    <n v="511"/>
    <x v="0"/>
    <x v="2"/>
    <n v="2"/>
    <s v="Medical"/>
    <n v="1"/>
    <n v="1898"/>
    <n v="1"/>
    <x v="0"/>
    <n v="89"/>
    <n v="4"/>
    <x v="0"/>
    <x v="0"/>
    <n v="3"/>
    <s v="Single"/>
    <n v="6500"/>
    <n v="26997"/>
    <n v="0"/>
    <s v="Y"/>
    <x v="1"/>
    <n v="14"/>
    <n v="3"/>
    <n v="2"/>
    <n v="80"/>
    <n v="0"/>
    <n v="9"/>
    <n v="5"/>
    <n v="2"/>
    <x v="3"/>
    <n v="7"/>
    <n v="0"/>
    <n v="7"/>
  </r>
  <r>
    <n v="48"/>
    <x v="1"/>
    <s v="Travel_Frequently"/>
    <n v="117"/>
    <x v="1"/>
    <x v="23"/>
    <n v="3"/>
    <s v="Medical"/>
    <n v="1"/>
    <n v="1900"/>
    <n v="4"/>
    <x v="0"/>
    <n v="58"/>
    <n v="3"/>
    <x v="3"/>
    <x v="5"/>
    <n v="4"/>
    <s v="Divorced"/>
    <n v="17174"/>
    <n v="2437"/>
    <n v="3"/>
    <s v="Y"/>
    <x v="1"/>
    <n v="11"/>
    <n v="3"/>
    <n v="2"/>
    <n v="80"/>
    <n v="1"/>
    <n v="24"/>
    <n v="3"/>
    <n v="3"/>
    <x v="14"/>
    <n v="17"/>
    <n v="4"/>
    <n v="7"/>
  </r>
  <r>
    <n v="44"/>
    <x v="1"/>
    <s v="Travel_Rarely"/>
    <n v="170"/>
    <x v="1"/>
    <x v="0"/>
    <n v="4"/>
    <s v="Life Sciences"/>
    <n v="1"/>
    <n v="1903"/>
    <n v="2"/>
    <x v="1"/>
    <n v="78"/>
    <n v="4"/>
    <x v="0"/>
    <x v="4"/>
    <n v="1"/>
    <s v="Married"/>
    <n v="5033"/>
    <n v="9364"/>
    <n v="2"/>
    <s v="Y"/>
    <x v="1"/>
    <n v="15"/>
    <n v="3"/>
    <n v="4"/>
    <n v="80"/>
    <n v="1"/>
    <n v="10"/>
    <n v="5"/>
    <n v="3"/>
    <x v="4"/>
    <n v="0"/>
    <n v="2"/>
    <n v="2"/>
  </r>
  <r>
    <n v="34"/>
    <x v="0"/>
    <s v="Non-Travel"/>
    <n v="967"/>
    <x v="1"/>
    <x v="7"/>
    <n v="4"/>
    <s v="Technical Degree"/>
    <n v="1"/>
    <n v="1905"/>
    <n v="4"/>
    <x v="1"/>
    <n v="85"/>
    <n v="1"/>
    <x v="1"/>
    <x v="1"/>
    <n v="1"/>
    <s v="Married"/>
    <n v="2307"/>
    <n v="14460"/>
    <n v="1"/>
    <s v="Y"/>
    <x v="0"/>
    <n v="23"/>
    <n v="4"/>
    <n v="2"/>
    <n v="80"/>
    <n v="1"/>
    <n v="5"/>
    <n v="2"/>
    <n v="3"/>
    <x v="8"/>
    <n v="2"/>
    <n v="3"/>
    <n v="0"/>
  </r>
  <r>
    <n v="56"/>
    <x v="0"/>
    <s v="Travel_Rarely"/>
    <n v="1162"/>
    <x v="1"/>
    <x v="4"/>
    <n v="2"/>
    <s v="Life Sciences"/>
    <n v="1"/>
    <n v="1907"/>
    <n v="1"/>
    <x v="1"/>
    <n v="97"/>
    <n v="3"/>
    <x v="1"/>
    <x v="2"/>
    <n v="4"/>
    <s v="Single"/>
    <n v="2587"/>
    <n v="10261"/>
    <n v="1"/>
    <s v="Y"/>
    <x v="1"/>
    <n v="16"/>
    <n v="3"/>
    <n v="4"/>
    <n v="80"/>
    <n v="0"/>
    <n v="5"/>
    <n v="3"/>
    <n v="3"/>
    <x v="9"/>
    <n v="2"/>
    <n v="1"/>
    <n v="0"/>
  </r>
  <r>
    <n v="36"/>
    <x v="1"/>
    <s v="Travel_Rarely"/>
    <n v="335"/>
    <x v="0"/>
    <x v="27"/>
    <n v="2"/>
    <s v="Marketing"/>
    <n v="1"/>
    <n v="1908"/>
    <n v="3"/>
    <x v="1"/>
    <n v="33"/>
    <n v="2"/>
    <x v="0"/>
    <x v="0"/>
    <n v="2"/>
    <s v="Married"/>
    <n v="5507"/>
    <n v="16822"/>
    <n v="2"/>
    <s v="Y"/>
    <x v="1"/>
    <n v="16"/>
    <n v="3"/>
    <n v="3"/>
    <n v="80"/>
    <n v="2"/>
    <n v="12"/>
    <n v="1"/>
    <n v="1"/>
    <x v="9"/>
    <n v="2"/>
    <n v="1"/>
    <n v="3"/>
  </r>
  <r>
    <n v="41"/>
    <x v="1"/>
    <s v="Travel_Rarely"/>
    <n v="337"/>
    <x v="0"/>
    <x v="1"/>
    <n v="3"/>
    <s v="Marketing"/>
    <n v="1"/>
    <n v="1909"/>
    <n v="3"/>
    <x v="0"/>
    <n v="54"/>
    <n v="3"/>
    <x v="0"/>
    <x v="0"/>
    <n v="2"/>
    <s v="Married"/>
    <n v="4393"/>
    <n v="26841"/>
    <n v="5"/>
    <s v="Y"/>
    <x v="1"/>
    <n v="21"/>
    <n v="4"/>
    <n v="3"/>
    <n v="80"/>
    <n v="1"/>
    <n v="14"/>
    <n v="3"/>
    <n v="3"/>
    <x v="8"/>
    <n v="4"/>
    <n v="1"/>
    <n v="4"/>
  </r>
  <r>
    <n v="42"/>
    <x v="1"/>
    <s v="Travel_Rarely"/>
    <n v="1396"/>
    <x v="1"/>
    <x v="16"/>
    <n v="3"/>
    <s v="Medical"/>
    <n v="1"/>
    <n v="1911"/>
    <n v="3"/>
    <x v="1"/>
    <n v="83"/>
    <n v="3"/>
    <x v="2"/>
    <x v="7"/>
    <n v="1"/>
    <s v="Married"/>
    <n v="13348"/>
    <n v="14842"/>
    <n v="9"/>
    <s v="Y"/>
    <x v="1"/>
    <n v="13"/>
    <n v="3"/>
    <n v="2"/>
    <n v="80"/>
    <n v="1"/>
    <n v="18"/>
    <n v="3"/>
    <n v="4"/>
    <x v="20"/>
    <n v="7"/>
    <n v="5"/>
    <n v="7"/>
  </r>
  <r>
    <n v="31"/>
    <x v="1"/>
    <s v="Travel_Rarely"/>
    <n v="1079"/>
    <x v="0"/>
    <x v="17"/>
    <n v="2"/>
    <s v="Medical"/>
    <n v="1"/>
    <n v="1912"/>
    <n v="3"/>
    <x v="0"/>
    <n v="86"/>
    <n v="3"/>
    <x v="0"/>
    <x v="0"/>
    <n v="4"/>
    <s v="Divorced"/>
    <n v="6583"/>
    <n v="20115"/>
    <n v="2"/>
    <s v="Y"/>
    <x v="0"/>
    <n v="11"/>
    <n v="3"/>
    <n v="4"/>
    <n v="80"/>
    <n v="1"/>
    <n v="8"/>
    <n v="2"/>
    <n v="3"/>
    <x v="8"/>
    <n v="2"/>
    <n v="1"/>
    <n v="4"/>
  </r>
  <r>
    <n v="34"/>
    <x v="1"/>
    <s v="Travel_Rarely"/>
    <n v="735"/>
    <x v="0"/>
    <x v="3"/>
    <n v="1"/>
    <s v="Medical"/>
    <n v="1"/>
    <n v="1915"/>
    <n v="4"/>
    <x v="0"/>
    <n v="75"/>
    <n v="2"/>
    <x v="0"/>
    <x v="0"/>
    <n v="4"/>
    <s v="Married"/>
    <n v="8103"/>
    <n v="16495"/>
    <n v="3"/>
    <s v="Y"/>
    <x v="0"/>
    <n v="12"/>
    <n v="3"/>
    <n v="3"/>
    <n v="80"/>
    <n v="0"/>
    <n v="9"/>
    <n v="3"/>
    <n v="2"/>
    <x v="9"/>
    <n v="2"/>
    <n v="0"/>
    <n v="1"/>
  </r>
  <r>
    <n v="31"/>
    <x v="1"/>
    <s v="Travel_Rarely"/>
    <n v="471"/>
    <x v="1"/>
    <x v="18"/>
    <n v="3"/>
    <s v="Medical"/>
    <n v="1"/>
    <n v="1916"/>
    <n v="1"/>
    <x v="0"/>
    <n v="62"/>
    <n v="4"/>
    <x v="1"/>
    <x v="2"/>
    <n v="3"/>
    <s v="Divorced"/>
    <n v="3978"/>
    <n v="16031"/>
    <n v="8"/>
    <s v="Y"/>
    <x v="1"/>
    <n v="12"/>
    <n v="3"/>
    <n v="2"/>
    <n v="80"/>
    <n v="1"/>
    <n v="4"/>
    <n v="0"/>
    <n v="2"/>
    <x v="4"/>
    <n v="2"/>
    <n v="2"/>
    <n v="2"/>
  </r>
  <r>
    <n v="26"/>
    <x v="1"/>
    <s v="Travel_Frequently"/>
    <n v="1096"/>
    <x v="1"/>
    <x v="16"/>
    <n v="3"/>
    <s v="Other"/>
    <n v="1"/>
    <n v="1918"/>
    <n v="3"/>
    <x v="1"/>
    <n v="61"/>
    <n v="4"/>
    <x v="1"/>
    <x v="2"/>
    <n v="4"/>
    <s v="Married"/>
    <n v="2544"/>
    <n v="7102"/>
    <n v="0"/>
    <s v="Y"/>
    <x v="1"/>
    <n v="18"/>
    <n v="3"/>
    <n v="1"/>
    <n v="80"/>
    <n v="1"/>
    <n v="8"/>
    <n v="3"/>
    <n v="3"/>
    <x v="5"/>
    <n v="7"/>
    <n v="7"/>
    <n v="7"/>
  </r>
  <r>
    <n v="45"/>
    <x v="1"/>
    <s v="Travel_Frequently"/>
    <n v="1297"/>
    <x v="1"/>
    <x v="0"/>
    <n v="4"/>
    <s v="Medical"/>
    <n v="1"/>
    <n v="1922"/>
    <n v="2"/>
    <x v="1"/>
    <n v="44"/>
    <n v="3"/>
    <x v="0"/>
    <x v="4"/>
    <n v="3"/>
    <s v="Single"/>
    <n v="5399"/>
    <n v="14511"/>
    <n v="4"/>
    <s v="Y"/>
    <x v="1"/>
    <n v="12"/>
    <n v="3"/>
    <n v="3"/>
    <n v="80"/>
    <n v="0"/>
    <n v="12"/>
    <n v="3"/>
    <n v="3"/>
    <x v="9"/>
    <n v="2"/>
    <n v="0"/>
    <n v="3"/>
  </r>
  <r>
    <n v="33"/>
    <x v="1"/>
    <s v="Travel_Rarely"/>
    <n v="217"/>
    <x v="0"/>
    <x v="17"/>
    <n v="4"/>
    <s v="Marketing"/>
    <n v="1"/>
    <n v="1924"/>
    <n v="2"/>
    <x v="1"/>
    <n v="43"/>
    <n v="3"/>
    <x v="0"/>
    <x v="0"/>
    <n v="3"/>
    <s v="Single"/>
    <n v="5487"/>
    <n v="10410"/>
    <n v="1"/>
    <s v="Y"/>
    <x v="1"/>
    <n v="14"/>
    <n v="3"/>
    <n v="2"/>
    <n v="80"/>
    <n v="0"/>
    <n v="10"/>
    <n v="2"/>
    <n v="2"/>
    <x v="1"/>
    <n v="4"/>
    <n v="0"/>
    <n v="9"/>
  </r>
  <r>
    <n v="28"/>
    <x v="1"/>
    <s v="Travel_Frequently"/>
    <n v="783"/>
    <x v="0"/>
    <x v="0"/>
    <n v="2"/>
    <s v="Life Sciences"/>
    <n v="1"/>
    <n v="1927"/>
    <n v="3"/>
    <x v="1"/>
    <n v="42"/>
    <n v="2"/>
    <x v="0"/>
    <x v="0"/>
    <n v="4"/>
    <s v="Married"/>
    <n v="6834"/>
    <n v="19255"/>
    <n v="1"/>
    <s v="Y"/>
    <x v="0"/>
    <n v="12"/>
    <n v="3"/>
    <n v="3"/>
    <n v="80"/>
    <n v="1"/>
    <n v="7"/>
    <n v="2"/>
    <n v="3"/>
    <x v="5"/>
    <n v="7"/>
    <n v="0"/>
    <n v="7"/>
  </r>
  <r>
    <n v="29"/>
    <x v="0"/>
    <s v="Travel_Frequently"/>
    <n v="746"/>
    <x v="0"/>
    <x v="4"/>
    <n v="3"/>
    <s v="Technical Degree"/>
    <n v="1"/>
    <n v="1928"/>
    <n v="3"/>
    <x v="1"/>
    <n v="45"/>
    <n v="4"/>
    <x v="1"/>
    <x v="6"/>
    <n v="1"/>
    <s v="Single"/>
    <n v="1091"/>
    <n v="10642"/>
    <n v="1"/>
    <s v="Y"/>
    <x v="1"/>
    <n v="17"/>
    <n v="3"/>
    <n v="4"/>
    <n v="80"/>
    <n v="0"/>
    <n v="1"/>
    <n v="3"/>
    <n v="3"/>
    <x v="6"/>
    <n v="0"/>
    <n v="0"/>
    <n v="0"/>
  </r>
  <r>
    <n v="39"/>
    <x v="1"/>
    <s v="Non-Travel"/>
    <n v="1251"/>
    <x v="0"/>
    <x v="11"/>
    <n v="4"/>
    <s v="Life Sciences"/>
    <n v="1"/>
    <n v="1929"/>
    <n v="1"/>
    <x v="0"/>
    <n v="32"/>
    <n v="1"/>
    <x v="0"/>
    <x v="0"/>
    <n v="3"/>
    <s v="Married"/>
    <n v="5736"/>
    <n v="3987"/>
    <n v="6"/>
    <s v="Y"/>
    <x v="1"/>
    <n v="19"/>
    <n v="3"/>
    <n v="3"/>
    <n v="80"/>
    <n v="1"/>
    <n v="10"/>
    <n v="1"/>
    <n v="3"/>
    <x v="11"/>
    <n v="2"/>
    <n v="1"/>
    <n v="2"/>
  </r>
  <r>
    <n v="27"/>
    <x v="1"/>
    <s v="Travel_Rarely"/>
    <n v="1354"/>
    <x v="1"/>
    <x v="2"/>
    <n v="4"/>
    <s v="Technical Degree"/>
    <n v="1"/>
    <n v="1931"/>
    <n v="2"/>
    <x v="1"/>
    <n v="41"/>
    <n v="3"/>
    <x v="1"/>
    <x v="1"/>
    <n v="2"/>
    <s v="Married"/>
    <n v="2226"/>
    <n v="6073"/>
    <n v="1"/>
    <s v="Y"/>
    <x v="1"/>
    <n v="11"/>
    <n v="3"/>
    <n v="3"/>
    <n v="80"/>
    <n v="1"/>
    <n v="6"/>
    <n v="3"/>
    <n v="2"/>
    <x v="8"/>
    <n v="3"/>
    <n v="1"/>
    <n v="2"/>
  </r>
  <r>
    <n v="34"/>
    <x v="1"/>
    <s v="Travel_Frequently"/>
    <n v="735"/>
    <x v="1"/>
    <x v="23"/>
    <n v="4"/>
    <s v="Other"/>
    <n v="1"/>
    <n v="1932"/>
    <n v="3"/>
    <x v="1"/>
    <n v="86"/>
    <n v="2"/>
    <x v="0"/>
    <x v="1"/>
    <n v="4"/>
    <s v="Married"/>
    <n v="5747"/>
    <n v="26496"/>
    <n v="1"/>
    <s v="Y"/>
    <x v="0"/>
    <n v="15"/>
    <n v="3"/>
    <n v="2"/>
    <n v="80"/>
    <n v="0"/>
    <n v="16"/>
    <n v="3"/>
    <n v="3"/>
    <x v="15"/>
    <n v="10"/>
    <n v="6"/>
    <n v="11"/>
  </r>
  <r>
    <n v="28"/>
    <x v="0"/>
    <s v="Travel_Rarely"/>
    <n v="1475"/>
    <x v="0"/>
    <x v="28"/>
    <n v="2"/>
    <s v="Marketing"/>
    <n v="1"/>
    <n v="1933"/>
    <n v="4"/>
    <x v="0"/>
    <n v="84"/>
    <n v="3"/>
    <x v="0"/>
    <x v="0"/>
    <n v="3"/>
    <s v="Single"/>
    <n v="9854"/>
    <n v="23352"/>
    <n v="3"/>
    <s v="Y"/>
    <x v="0"/>
    <n v="11"/>
    <n v="3"/>
    <n v="4"/>
    <n v="80"/>
    <n v="0"/>
    <n v="6"/>
    <n v="0"/>
    <n v="3"/>
    <x v="4"/>
    <n v="0"/>
    <n v="2"/>
    <n v="2"/>
  </r>
  <r>
    <n v="47"/>
    <x v="1"/>
    <s v="Non-Travel"/>
    <n v="1169"/>
    <x v="1"/>
    <x v="24"/>
    <n v="4"/>
    <s v="Technical Degree"/>
    <n v="1"/>
    <n v="1934"/>
    <n v="3"/>
    <x v="1"/>
    <n v="64"/>
    <n v="3"/>
    <x v="0"/>
    <x v="1"/>
    <n v="2"/>
    <s v="Married"/>
    <n v="5467"/>
    <n v="2125"/>
    <n v="8"/>
    <s v="Y"/>
    <x v="1"/>
    <n v="18"/>
    <n v="3"/>
    <n v="3"/>
    <n v="80"/>
    <n v="1"/>
    <n v="16"/>
    <n v="4"/>
    <n v="4"/>
    <x v="3"/>
    <n v="7"/>
    <n v="1"/>
    <n v="7"/>
  </r>
  <r>
    <n v="56"/>
    <x v="1"/>
    <s v="Travel_Rarely"/>
    <n v="1443"/>
    <x v="0"/>
    <x v="13"/>
    <n v="5"/>
    <s v="Marketing"/>
    <n v="1"/>
    <n v="1935"/>
    <n v="4"/>
    <x v="0"/>
    <n v="89"/>
    <n v="2"/>
    <x v="0"/>
    <x v="0"/>
    <n v="1"/>
    <s v="Married"/>
    <n v="5380"/>
    <n v="20328"/>
    <n v="4"/>
    <s v="Y"/>
    <x v="1"/>
    <n v="16"/>
    <n v="3"/>
    <n v="3"/>
    <n v="80"/>
    <n v="1"/>
    <n v="6"/>
    <n v="3"/>
    <n v="3"/>
    <x v="2"/>
    <n v="0"/>
    <n v="0"/>
    <n v="0"/>
  </r>
  <r>
    <n v="39"/>
    <x v="1"/>
    <s v="Travel_Rarely"/>
    <n v="867"/>
    <x v="1"/>
    <x v="14"/>
    <n v="2"/>
    <s v="Medical"/>
    <n v="1"/>
    <n v="1936"/>
    <n v="1"/>
    <x v="1"/>
    <n v="87"/>
    <n v="3"/>
    <x v="0"/>
    <x v="3"/>
    <n v="1"/>
    <s v="Married"/>
    <n v="5151"/>
    <n v="12315"/>
    <n v="1"/>
    <s v="Y"/>
    <x v="1"/>
    <n v="25"/>
    <n v="4"/>
    <n v="4"/>
    <n v="80"/>
    <n v="1"/>
    <n v="10"/>
    <n v="3"/>
    <n v="3"/>
    <x v="1"/>
    <n v="0"/>
    <n v="7"/>
    <n v="9"/>
  </r>
  <r>
    <n v="38"/>
    <x v="1"/>
    <s v="Travel_Frequently"/>
    <n v="1394"/>
    <x v="1"/>
    <x v="1"/>
    <n v="3"/>
    <s v="Medical"/>
    <n v="1"/>
    <n v="1937"/>
    <n v="4"/>
    <x v="0"/>
    <n v="58"/>
    <n v="2"/>
    <x v="0"/>
    <x v="1"/>
    <n v="2"/>
    <s v="Divorced"/>
    <n v="2133"/>
    <n v="18115"/>
    <n v="1"/>
    <s v="Y"/>
    <x v="0"/>
    <n v="16"/>
    <n v="3"/>
    <n v="3"/>
    <n v="80"/>
    <n v="1"/>
    <n v="20"/>
    <n v="3"/>
    <n v="3"/>
    <x v="23"/>
    <n v="11"/>
    <n v="0"/>
    <n v="7"/>
  </r>
  <r>
    <n v="58"/>
    <x v="1"/>
    <s v="Travel_Rarely"/>
    <n v="605"/>
    <x v="0"/>
    <x v="11"/>
    <n v="3"/>
    <s v="Life Sciences"/>
    <n v="1"/>
    <n v="1938"/>
    <n v="4"/>
    <x v="0"/>
    <n v="72"/>
    <n v="3"/>
    <x v="3"/>
    <x v="5"/>
    <n v="4"/>
    <s v="Married"/>
    <n v="17875"/>
    <n v="11761"/>
    <n v="4"/>
    <s v="Y"/>
    <x v="0"/>
    <n v="13"/>
    <n v="3"/>
    <n v="3"/>
    <n v="80"/>
    <n v="1"/>
    <n v="29"/>
    <n v="2"/>
    <n v="2"/>
    <x v="6"/>
    <n v="0"/>
    <n v="0"/>
    <n v="0"/>
  </r>
  <r>
    <n v="32"/>
    <x v="0"/>
    <s v="Travel_Frequently"/>
    <n v="238"/>
    <x v="1"/>
    <x v="12"/>
    <n v="2"/>
    <s v="Life Sciences"/>
    <n v="1"/>
    <n v="1939"/>
    <n v="1"/>
    <x v="0"/>
    <n v="47"/>
    <n v="4"/>
    <x v="1"/>
    <x v="1"/>
    <n v="3"/>
    <s v="Single"/>
    <n v="2432"/>
    <n v="15318"/>
    <n v="3"/>
    <s v="Y"/>
    <x v="0"/>
    <n v="14"/>
    <n v="3"/>
    <n v="1"/>
    <n v="80"/>
    <n v="0"/>
    <n v="8"/>
    <n v="2"/>
    <n v="3"/>
    <x v="9"/>
    <n v="1"/>
    <n v="0"/>
    <n v="3"/>
  </r>
  <r>
    <n v="38"/>
    <x v="1"/>
    <s v="Travel_Rarely"/>
    <n v="1206"/>
    <x v="1"/>
    <x v="14"/>
    <n v="2"/>
    <s v="Life Sciences"/>
    <n v="1"/>
    <n v="1940"/>
    <n v="2"/>
    <x v="1"/>
    <n v="71"/>
    <n v="3"/>
    <x v="1"/>
    <x v="1"/>
    <n v="4"/>
    <s v="Divorced"/>
    <n v="4771"/>
    <n v="14293"/>
    <n v="2"/>
    <s v="Y"/>
    <x v="1"/>
    <n v="19"/>
    <n v="3"/>
    <n v="4"/>
    <n v="80"/>
    <n v="2"/>
    <n v="10"/>
    <n v="0"/>
    <n v="4"/>
    <x v="8"/>
    <n v="2"/>
    <n v="0"/>
    <n v="3"/>
  </r>
  <r>
    <n v="49"/>
    <x v="1"/>
    <s v="Travel_Frequently"/>
    <n v="1064"/>
    <x v="1"/>
    <x v="2"/>
    <n v="1"/>
    <s v="Life Sciences"/>
    <n v="1"/>
    <n v="1941"/>
    <n v="2"/>
    <x v="1"/>
    <n v="42"/>
    <n v="3"/>
    <x v="4"/>
    <x v="7"/>
    <n v="4"/>
    <s v="Married"/>
    <n v="19161"/>
    <n v="13738"/>
    <n v="3"/>
    <s v="Y"/>
    <x v="1"/>
    <n v="15"/>
    <n v="3"/>
    <n v="4"/>
    <n v="80"/>
    <n v="0"/>
    <n v="28"/>
    <n v="3"/>
    <n v="3"/>
    <x v="8"/>
    <n v="4"/>
    <n v="4"/>
    <n v="3"/>
  </r>
  <r>
    <n v="42"/>
    <x v="1"/>
    <s v="Travel_Rarely"/>
    <n v="419"/>
    <x v="0"/>
    <x v="20"/>
    <n v="4"/>
    <s v="Marketing"/>
    <n v="1"/>
    <n v="1943"/>
    <n v="2"/>
    <x v="1"/>
    <n v="77"/>
    <n v="3"/>
    <x v="0"/>
    <x v="0"/>
    <n v="4"/>
    <s v="Divorced"/>
    <n v="5087"/>
    <n v="2900"/>
    <n v="3"/>
    <s v="Y"/>
    <x v="0"/>
    <n v="12"/>
    <n v="3"/>
    <n v="3"/>
    <n v="80"/>
    <n v="2"/>
    <n v="14"/>
    <n v="4"/>
    <n v="3"/>
    <x v="2"/>
    <n v="0"/>
    <n v="0"/>
    <n v="0"/>
  </r>
  <r>
    <n v="27"/>
    <x v="0"/>
    <s v="Travel_Frequently"/>
    <n v="1337"/>
    <x v="2"/>
    <x v="23"/>
    <n v="3"/>
    <s v="Human Resources"/>
    <n v="1"/>
    <n v="1944"/>
    <n v="1"/>
    <x v="0"/>
    <n v="58"/>
    <n v="2"/>
    <x v="1"/>
    <x v="8"/>
    <n v="2"/>
    <s v="Married"/>
    <n v="2863"/>
    <n v="19555"/>
    <n v="1"/>
    <s v="Y"/>
    <x v="1"/>
    <n v="12"/>
    <n v="3"/>
    <n v="1"/>
    <n v="80"/>
    <n v="0"/>
    <n v="1"/>
    <n v="2"/>
    <n v="3"/>
    <x v="6"/>
    <n v="0"/>
    <n v="0"/>
    <n v="0"/>
  </r>
  <r>
    <n v="35"/>
    <x v="1"/>
    <s v="Travel_Rarely"/>
    <n v="682"/>
    <x v="0"/>
    <x v="21"/>
    <n v="4"/>
    <s v="Medical"/>
    <n v="1"/>
    <n v="1945"/>
    <n v="2"/>
    <x v="1"/>
    <n v="71"/>
    <n v="3"/>
    <x v="0"/>
    <x v="0"/>
    <n v="1"/>
    <s v="Married"/>
    <n v="5561"/>
    <n v="15975"/>
    <n v="0"/>
    <s v="Y"/>
    <x v="1"/>
    <n v="16"/>
    <n v="3"/>
    <n v="4"/>
    <n v="80"/>
    <n v="1"/>
    <n v="6"/>
    <n v="2"/>
    <n v="1"/>
    <x v="8"/>
    <n v="3"/>
    <n v="0"/>
    <n v="4"/>
  </r>
  <r>
    <n v="28"/>
    <x v="1"/>
    <s v="Non-Travel"/>
    <n v="1103"/>
    <x v="1"/>
    <x v="7"/>
    <n v="3"/>
    <s v="Medical"/>
    <n v="1"/>
    <n v="1947"/>
    <n v="3"/>
    <x v="1"/>
    <n v="49"/>
    <n v="3"/>
    <x v="1"/>
    <x v="1"/>
    <n v="3"/>
    <s v="Single"/>
    <n v="2144"/>
    <n v="2122"/>
    <n v="1"/>
    <s v="Y"/>
    <x v="1"/>
    <n v="14"/>
    <n v="3"/>
    <n v="3"/>
    <n v="80"/>
    <n v="0"/>
    <n v="5"/>
    <n v="3"/>
    <n v="2"/>
    <x v="8"/>
    <n v="3"/>
    <n v="1"/>
    <n v="4"/>
  </r>
  <r>
    <n v="31"/>
    <x v="1"/>
    <s v="Non-Travel"/>
    <n v="976"/>
    <x v="1"/>
    <x v="3"/>
    <n v="2"/>
    <s v="Medical"/>
    <n v="1"/>
    <n v="1948"/>
    <n v="3"/>
    <x v="1"/>
    <n v="48"/>
    <n v="3"/>
    <x v="1"/>
    <x v="1"/>
    <n v="1"/>
    <s v="Divorced"/>
    <n v="3065"/>
    <n v="3995"/>
    <n v="1"/>
    <s v="Y"/>
    <x v="0"/>
    <n v="13"/>
    <n v="3"/>
    <n v="4"/>
    <n v="80"/>
    <n v="1"/>
    <n v="4"/>
    <n v="3"/>
    <n v="4"/>
    <x v="9"/>
    <n v="2"/>
    <n v="2"/>
    <n v="3"/>
  </r>
  <r>
    <n v="36"/>
    <x v="1"/>
    <s v="Non-Travel"/>
    <n v="1351"/>
    <x v="1"/>
    <x v="14"/>
    <n v="4"/>
    <s v="Life Sciences"/>
    <n v="1"/>
    <n v="1949"/>
    <n v="1"/>
    <x v="1"/>
    <n v="66"/>
    <n v="4"/>
    <x v="1"/>
    <x v="2"/>
    <n v="2"/>
    <s v="Married"/>
    <n v="2810"/>
    <n v="9238"/>
    <n v="1"/>
    <s v="Y"/>
    <x v="1"/>
    <n v="22"/>
    <n v="4"/>
    <n v="2"/>
    <n v="80"/>
    <n v="0"/>
    <n v="5"/>
    <n v="3"/>
    <n v="3"/>
    <x v="8"/>
    <n v="4"/>
    <n v="0"/>
    <n v="2"/>
  </r>
  <r>
    <n v="34"/>
    <x v="1"/>
    <s v="Travel_Rarely"/>
    <n v="937"/>
    <x v="0"/>
    <x v="0"/>
    <n v="3"/>
    <s v="Marketing"/>
    <n v="1"/>
    <n v="1950"/>
    <n v="1"/>
    <x v="1"/>
    <n v="32"/>
    <n v="3"/>
    <x v="2"/>
    <x v="0"/>
    <n v="4"/>
    <s v="Single"/>
    <n v="9888"/>
    <n v="6770"/>
    <n v="1"/>
    <s v="Y"/>
    <x v="1"/>
    <n v="21"/>
    <n v="4"/>
    <n v="1"/>
    <n v="80"/>
    <n v="0"/>
    <n v="14"/>
    <n v="3"/>
    <n v="2"/>
    <x v="13"/>
    <n v="8"/>
    <n v="2"/>
    <n v="1"/>
  </r>
  <r>
    <n v="34"/>
    <x v="1"/>
    <s v="Travel_Rarely"/>
    <n v="1239"/>
    <x v="0"/>
    <x v="28"/>
    <n v="4"/>
    <s v="Medical"/>
    <n v="1"/>
    <n v="1951"/>
    <n v="4"/>
    <x v="1"/>
    <n v="39"/>
    <n v="3"/>
    <x v="2"/>
    <x v="0"/>
    <n v="3"/>
    <s v="Divorced"/>
    <n v="8628"/>
    <n v="22914"/>
    <n v="1"/>
    <s v="Y"/>
    <x v="1"/>
    <n v="18"/>
    <n v="3"/>
    <n v="3"/>
    <n v="80"/>
    <n v="1"/>
    <n v="9"/>
    <n v="2"/>
    <n v="2"/>
    <x v="3"/>
    <n v="7"/>
    <n v="1"/>
    <n v="1"/>
  </r>
  <r>
    <n v="26"/>
    <x v="1"/>
    <s v="Travel_Rarely"/>
    <n v="157"/>
    <x v="1"/>
    <x v="0"/>
    <n v="3"/>
    <s v="Medical"/>
    <n v="1"/>
    <n v="1952"/>
    <n v="3"/>
    <x v="1"/>
    <n v="95"/>
    <n v="3"/>
    <x v="1"/>
    <x v="2"/>
    <n v="1"/>
    <s v="Single"/>
    <n v="2867"/>
    <n v="20006"/>
    <n v="0"/>
    <s v="Y"/>
    <x v="1"/>
    <n v="13"/>
    <n v="3"/>
    <n v="4"/>
    <n v="80"/>
    <n v="0"/>
    <n v="8"/>
    <n v="6"/>
    <n v="2"/>
    <x v="5"/>
    <n v="7"/>
    <n v="7"/>
    <n v="6"/>
  </r>
  <r>
    <n v="29"/>
    <x v="1"/>
    <s v="Travel_Rarely"/>
    <n v="136"/>
    <x v="1"/>
    <x v="0"/>
    <n v="3"/>
    <s v="Life Sciences"/>
    <n v="1"/>
    <n v="1954"/>
    <n v="1"/>
    <x v="1"/>
    <n v="89"/>
    <n v="3"/>
    <x v="0"/>
    <x v="4"/>
    <n v="1"/>
    <s v="Married"/>
    <n v="5373"/>
    <n v="6225"/>
    <n v="0"/>
    <s v="Y"/>
    <x v="1"/>
    <n v="12"/>
    <n v="3"/>
    <n v="1"/>
    <n v="80"/>
    <n v="1"/>
    <n v="6"/>
    <n v="5"/>
    <n v="2"/>
    <x v="8"/>
    <n v="3"/>
    <n v="0"/>
    <n v="2"/>
  </r>
  <r>
    <n v="32"/>
    <x v="1"/>
    <s v="Non-Travel"/>
    <n v="1146"/>
    <x v="1"/>
    <x v="8"/>
    <n v="4"/>
    <s v="Medical"/>
    <n v="1"/>
    <n v="1955"/>
    <n v="3"/>
    <x v="0"/>
    <n v="34"/>
    <n v="3"/>
    <x v="0"/>
    <x v="4"/>
    <n v="4"/>
    <s v="Divorced"/>
    <n v="6667"/>
    <n v="16542"/>
    <n v="5"/>
    <s v="Y"/>
    <x v="1"/>
    <n v="18"/>
    <n v="3"/>
    <n v="2"/>
    <n v="80"/>
    <n v="1"/>
    <n v="9"/>
    <n v="6"/>
    <n v="3"/>
    <x v="8"/>
    <n v="1"/>
    <n v="1"/>
    <n v="2"/>
  </r>
  <r>
    <n v="31"/>
    <x v="1"/>
    <s v="Travel_Frequently"/>
    <n v="1125"/>
    <x v="1"/>
    <x v="0"/>
    <n v="3"/>
    <s v="Life Sciences"/>
    <n v="1"/>
    <n v="1956"/>
    <n v="4"/>
    <x v="1"/>
    <n v="48"/>
    <n v="1"/>
    <x v="0"/>
    <x v="1"/>
    <n v="1"/>
    <s v="Married"/>
    <n v="5003"/>
    <n v="5771"/>
    <n v="1"/>
    <s v="Y"/>
    <x v="1"/>
    <n v="21"/>
    <n v="4"/>
    <n v="2"/>
    <n v="80"/>
    <n v="0"/>
    <n v="10"/>
    <n v="6"/>
    <n v="3"/>
    <x v="1"/>
    <n v="8"/>
    <n v="8"/>
    <n v="7"/>
  </r>
  <r>
    <n v="28"/>
    <x v="0"/>
    <s v="Travel_Rarely"/>
    <n v="1404"/>
    <x v="1"/>
    <x v="27"/>
    <n v="3"/>
    <s v="Technical Degree"/>
    <n v="1"/>
    <n v="1960"/>
    <n v="3"/>
    <x v="1"/>
    <n v="32"/>
    <n v="2"/>
    <x v="1"/>
    <x v="2"/>
    <n v="4"/>
    <s v="Divorced"/>
    <n v="2367"/>
    <n v="18779"/>
    <n v="5"/>
    <s v="Y"/>
    <x v="1"/>
    <n v="12"/>
    <n v="3"/>
    <n v="1"/>
    <n v="80"/>
    <n v="1"/>
    <n v="6"/>
    <n v="2"/>
    <n v="2"/>
    <x v="9"/>
    <n v="1"/>
    <n v="0"/>
    <n v="3"/>
  </r>
  <r>
    <n v="38"/>
    <x v="1"/>
    <s v="Travel_Rarely"/>
    <n v="1404"/>
    <x v="0"/>
    <x v="0"/>
    <n v="3"/>
    <s v="Life Sciences"/>
    <n v="1"/>
    <n v="1961"/>
    <n v="1"/>
    <x v="1"/>
    <n v="59"/>
    <n v="2"/>
    <x v="1"/>
    <x v="6"/>
    <n v="1"/>
    <s v="Single"/>
    <n v="2858"/>
    <n v="11473"/>
    <n v="4"/>
    <s v="Y"/>
    <x v="1"/>
    <n v="14"/>
    <n v="3"/>
    <n v="1"/>
    <n v="80"/>
    <n v="0"/>
    <n v="20"/>
    <n v="3"/>
    <n v="2"/>
    <x v="6"/>
    <n v="0"/>
    <n v="0"/>
    <n v="0"/>
  </r>
  <r>
    <n v="35"/>
    <x v="1"/>
    <s v="Travel_Rarely"/>
    <n v="1224"/>
    <x v="0"/>
    <x v="15"/>
    <n v="4"/>
    <s v="Life Sciences"/>
    <n v="1"/>
    <n v="1962"/>
    <n v="3"/>
    <x v="0"/>
    <n v="55"/>
    <n v="3"/>
    <x v="0"/>
    <x v="0"/>
    <n v="4"/>
    <s v="Married"/>
    <n v="5204"/>
    <n v="13586"/>
    <n v="1"/>
    <s v="Y"/>
    <x v="0"/>
    <n v="11"/>
    <n v="3"/>
    <n v="4"/>
    <n v="80"/>
    <n v="0"/>
    <n v="10"/>
    <n v="2"/>
    <n v="3"/>
    <x v="1"/>
    <n v="8"/>
    <n v="0"/>
    <n v="9"/>
  </r>
  <r>
    <n v="27"/>
    <x v="1"/>
    <s v="Travel_Rarely"/>
    <n v="954"/>
    <x v="0"/>
    <x v="14"/>
    <n v="3"/>
    <s v="Marketing"/>
    <n v="1"/>
    <n v="1965"/>
    <n v="4"/>
    <x v="1"/>
    <n v="44"/>
    <n v="3"/>
    <x v="0"/>
    <x v="0"/>
    <n v="4"/>
    <s v="Single"/>
    <n v="4105"/>
    <n v="5099"/>
    <n v="1"/>
    <s v="Y"/>
    <x v="1"/>
    <n v="14"/>
    <n v="3"/>
    <n v="1"/>
    <n v="80"/>
    <n v="0"/>
    <n v="7"/>
    <n v="5"/>
    <n v="3"/>
    <x v="5"/>
    <n v="7"/>
    <n v="0"/>
    <n v="7"/>
  </r>
  <r>
    <n v="32"/>
    <x v="1"/>
    <s v="Travel_Rarely"/>
    <n v="1373"/>
    <x v="1"/>
    <x v="12"/>
    <n v="4"/>
    <s v="Life Sciences"/>
    <n v="1"/>
    <n v="1966"/>
    <n v="4"/>
    <x v="1"/>
    <n v="56"/>
    <n v="2"/>
    <x v="0"/>
    <x v="3"/>
    <n v="4"/>
    <s v="Single"/>
    <n v="9679"/>
    <n v="10138"/>
    <n v="8"/>
    <s v="Y"/>
    <x v="1"/>
    <n v="24"/>
    <n v="4"/>
    <n v="2"/>
    <n v="80"/>
    <n v="0"/>
    <n v="8"/>
    <n v="1"/>
    <n v="3"/>
    <x v="6"/>
    <n v="0"/>
    <n v="0"/>
    <n v="0"/>
  </r>
  <r>
    <n v="31"/>
    <x v="0"/>
    <s v="Travel_Frequently"/>
    <n v="754"/>
    <x v="0"/>
    <x v="9"/>
    <n v="4"/>
    <s v="Marketing"/>
    <n v="1"/>
    <n v="1967"/>
    <n v="1"/>
    <x v="1"/>
    <n v="63"/>
    <n v="3"/>
    <x v="0"/>
    <x v="0"/>
    <n v="4"/>
    <s v="Married"/>
    <n v="5617"/>
    <n v="21075"/>
    <n v="1"/>
    <s v="Y"/>
    <x v="0"/>
    <n v="11"/>
    <n v="3"/>
    <n v="3"/>
    <n v="80"/>
    <n v="0"/>
    <n v="10"/>
    <n v="4"/>
    <n v="3"/>
    <x v="1"/>
    <n v="7"/>
    <n v="0"/>
    <n v="8"/>
  </r>
  <r>
    <n v="53"/>
    <x v="0"/>
    <s v="Travel_Rarely"/>
    <n v="1168"/>
    <x v="0"/>
    <x v="4"/>
    <n v="4"/>
    <s v="Life Sciences"/>
    <n v="1"/>
    <n v="1968"/>
    <n v="1"/>
    <x v="1"/>
    <n v="66"/>
    <n v="3"/>
    <x v="2"/>
    <x v="0"/>
    <n v="1"/>
    <s v="Single"/>
    <n v="10448"/>
    <n v="5843"/>
    <n v="6"/>
    <s v="Y"/>
    <x v="0"/>
    <n v="13"/>
    <n v="3"/>
    <n v="2"/>
    <n v="80"/>
    <n v="0"/>
    <n v="15"/>
    <n v="2"/>
    <n v="2"/>
    <x v="4"/>
    <n v="2"/>
    <n v="2"/>
    <n v="2"/>
  </r>
  <r>
    <n v="54"/>
    <x v="1"/>
    <s v="Travel_Rarely"/>
    <n v="155"/>
    <x v="1"/>
    <x v="14"/>
    <n v="2"/>
    <s v="Life Sciences"/>
    <n v="1"/>
    <n v="1969"/>
    <n v="1"/>
    <x v="0"/>
    <n v="67"/>
    <n v="3"/>
    <x v="0"/>
    <x v="1"/>
    <n v="3"/>
    <s v="Married"/>
    <n v="2897"/>
    <n v="22474"/>
    <n v="3"/>
    <s v="Y"/>
    <x v="1"/>
    <n v="11"/>
    <n v="3"/>
    <n v="3"/>
    <n v="80"/>
    <n v="2"/>
    <n v="9"/>
    <n v="6"/>
    <n v="2"/>
    <x v="9"/>
    <n v="3"/>
    <n v="2"/>
    <n v="3"/>
  </r>
  <r>
    <n v="33"/>
    <x v="1"/>
    <s v="Travel_Frequently"/>
    <n v="1303"/>
    <x v="1"/>
    <x v="15"/>
    <n v="2"/>
    <s v="Life Sciences"/>
    <n v="1"/>
    <n v="1970"/>
    <n v="4"/>
    <x v="1"/>
    <n v="36"/>
    <n v="3"/>
    <x v="0"/>
    <x v="4"/>
    <n v="3"/>
    <s v="Divorced"/>
    <n v="5968"/>
    <n v="18079"/>
    <n v="1"/>
    <s v="Y"/>
    <x v="1"/>
    <n v="20"/>
    <n v="4"/>
    <n v="3"/>
    <n v="80"/>
    <n v="3"/>
    <n v="9"/>
    <n v="2"/>
    <n v="3"/>
    <x v="7"/>
    <n v="7"/>
    <n v="2"/>
    <n v="8"/>
  </r>
  <r>
    <n v="43"/>
    <x v="1"/>
    <s v="Travel_Rarely"/>
    <n v="574"/>
    <x v="1"/>
    <x v="13"/>
    <n v="3"/>
    <s v="Life Sciences"/>
    <n v="1"/>
    <n v="1971"/>
    <n v="1"/>
    <x v="1"/>
    <n v="30"/>
    <n v="3"/>
    <x v="2"/>
    <x v="4"/>
    <n v="3"/>
    <s v="Married"/>
    <n v="7510"/>
    <n v="16873"/>
    <n v="1"/>
    <s v="Y"/>
    <x v="1"/>
    <n v="17"/>
    <n v="3"/>
    <n v="2"/>
    <n v="80"/>
    <n v="1"/>
    <n v="10"/>
    <n v="1"/>
    <n v="3"/>
    <x v="1"/>
    <n v="9"/>
    <n v="0"/>
    <n v="9"/>
  </r>
  <r>
    <n v="38"/>
    <x v="1"/>
    <s v="Travel_Frequently"/>
    <n v="1444"/>
    <x v="2"/>
    <x v="0"/>
    <n v="4"/>
    <s v="Other"/>
    <n v="1"/>
    <n v="1972"/>
    <n v="4"/>
    <x v="1"/>
    <n v="88"/>
    <n v="3"/>
    <x v="1"/>
    <x v="8"/>
    <n v="2"/>
    <s v="Married"/>
    <n v="2991"/>
    <n v="5224"/>
    <n v="0"/>
    <s v="Y"/>
    <x v="0"/>
    <n v="11"/>
    <n v="3"/>
    <n v="2"/>
    <n v="80"/>
    <n v="1"/>
    <n v="7"/>
    <n v="2"/>
    <n v="3"/>
    <x v="0"/>
    <n v="2"/>
    <n v="1"/>
    <n v="2"/>
  </r>
  <r>
    <n v="55"/>
    <x v="1"/>
    <s v="Travel_Rarely"/>
    <n v="189"/>
    <x v="2"/>
    <x v="9"/>
    <n v="4"/>
    <s v="Human Resources"/>
    <n v="1"/>
    <n v="1973"/>
    <n v="3"/>
    <x v="1"/>
    <n v="71"/>
    <n v="4"/>
    <x v="4"/>
    <x v="5"/>
    <n v="2"/>
    <s v="Married"/>
    <n v="19636"/>
    <n v="25811"/>
    <n v="4"/>
    <s v="Y"/>
    <x v="0"/>
    <n v="18"/>
    <n v="3"/>
    <n v="1"/>
    <n v="80"/>
    <n v="1"/>
    <n v="35"/>
    <n v="0"/>
    <n v="3"/>
    <x v="1"/>
    <n v="9"/>
    <n v="1"/>
    <n v="4"/>
  </r>
  <r>
    <n v="31"/>
    <x v="1"/>
    <s v="Travel_Rarely"/>
    <n v="1276"/>
    <x v="1"/>
    <x v="2"/>
    <n v="1"/>
    <s v="Medical"/>
    <n v="1"/>
    <n v="1974"/>
    <n v="4"/>
    <x v="0"/>
    <n v="59"/>
    <n v="1"/>
    <x v="1"/>
    <x v="2"/>
    <n v="4"/>
    <s v="Divorced"/>
    <n v="1129"/>
    <n v="17536"/>
    <n v="1"/>
    <s v="Y"/>
    <x v="0"/>
    <n v="11"/>
    <n v="3"/>
    <n v="3"/>
    <n v="80"/>
    <n v="3"/>
    <n v="1"/>
    <n v="4"/>
    <n v="3"/>
    <x v="6"/>
    <n v="0"/>
    <n v="0"/>
    <n v="0"/>
  </r>
  <r>
    <n v="39"/>
    <x v="1"/>
    <s v="Travel_Rarely"/>
    <n v="119"/>
    <x v="0"/>
    <x v="8"/>
    <n v="4"/>
    <s v="Marketing"/>
    <n v="1"/>
    <n v="1975"/>
    <n v="2"/>
    <x v="1"/>
    <n v="77"/>
    <n v="3"/>
    <x v="3"/>
    <x v="0"/>
    <n v="1"/>
    <s v="Single"/>
    <n v="13341"/>
    <n v="25098"/>
    <n v="0"/>
    <s v="Y"/>
    <x v="1"/>
    <n v="12"/>
    <n v="3"/>
    <n v="1"/>
    <n v="80"/>
    <n v="0"/>
    <n v="21"/>
    <n v="3"/>
    <n v="3"/>
    <x v="23"/>
    <n v="8"/>
    <n v="11"/>
    <n v="10"/>
  </r>
  <r>
    <n v="42"/>
    <x v="1"/>
    <s v="Non-Travel"/>
    <n v="335"/>
    <x v="1"/>
    <x v="5"/>
    <n v="2"/>
    <s v="Life Sciences"/>
    <n v="1"/>
    <n v="1976"/>
    <n v="4"/>
    <x v="1"/>
    <n v="37"/>
    <n v="2"/>
    <x v="0"/>
    <x v="1"/>
    <n v="3"/>
    <s v="Single"/>
    <n v="4332"/>
    <n v="14811"/>
    <n v="1"/>
    <s v="Y"/>
    <x v="1"/>
    <n v="12"/>
    <n v="3"/>
    <n v="4"/>
    <n v="80"/>
    <n v="0"/>
    <n v="20"/>
    <n v="2"/>
    <n v="3"/>
    <x v="23"/>
    <n v="9"/>
    <n v="3"/>
    <n v="7"/>
  </r>
  <r>
    <n v="31"/>
    <x v="1"/>
    <s v="Non-Travel"/>
    <n v="697"/>
    <x v="1"/>
    <x v="17"/>
    <n v="3"/>
    <s v="Medical"/>
    <n v="1"/>
    <n v="1979"/>
    <n v="3"/>
    <x v="0"/>
    <n v="40"/>
    <n v="3"/>
    <x v="2"/>
    <x v="7"/>
    <n v="3"/>
    <s v="Married"/>
    <n v="11031"/>
    <n v="26862"/>
    <n v="4"/>
    <s v="Y"/>
    <x v="1"/>
    <n v="20"/>
    <n v="4"/>
    <n v="3"/>
    <n v="80"/>
    <n v="1"/>
    <n v="13"/>
    <n v="2"/>
    <n v="4"/>
    <x v="19"/>
    <n v="7"/>
    <n v="4"/>
    <n v="8"/>
  </r>
  <r>
    <n v="54"/>
    <x v="1"/>
    <s v="Travel_Rarely"/>
    <n v="157"/>
    <x v="1"/>
    <x v="17"/>
    <n v="3"/>
    <s v="Medical"/>
    <n v="1"/>
    <n v="1980"/>
    <n v="3"/>
    <x v="0"/>
    <n v="77"/>
    <n v="3"/>
    <x v="0"/>
    <x v="3"/>
    <n v="1"/>
    <s v="Single"/>
    <n v="4440"/>
    <n v="25198"/>
    <n v="6"/>
    <s v="Y"/>
    <x v="0"/>
    <n v="19"/>
    <n v="3"/>
    <n v="4"/>
    <n v="80"/>
    <n v="0"/>
    <n v="9"/>
    <n v="3"/>
    <n v="3"/>
    <x v="8"/>
    <n v="2"/>
    <n v="1"/>
    <n v="4"/>
  </r>
  <r>
    <n v="24"/>
    <x v="1"/>
    <s v="Travel_Rarely"/>
    <n v="771"/>
    <x v="1"/>
    <x v="0"/>
    <n v="2"/>
    <s v="Life Sciences"/>
    <n v="1"/>
    <n v="1981"/>
    <n v="2"/>
    <x v="1"/>
    <n v="45"/>
    <n v="2"/>
    <x v="0"/>
    <x v="4"/>
    <n v="3"/>
    <s v="Single"/>
    <n v="4617"/>
    <n v="14120"/>
    <n v="1"/>
    <s v="Y"/>
    <x v="1"/>
    <n v="12"/>
    <n v="3"/>
    <n v="2"/>
    <n v="80"/>
    <n v="0"/>
    <n v="4"/>
    <n v="2"/>
    <n v="2"/>
    <x v="9"/>
    <n v="3"/>
    <n v="1"/>
    <n v="2"/>
  </r>
  <r>
    <n v="23"/>
    <x v="1"/>
    <s v="Travel_Rarely"/>
    <n v="571"/>
    <x v="1"/>
    <x v="20"/>
    <n v="2"/>
    <s v="Other"/>
    <n v="1"/>
    <n v="1982"/>
    <n v="4"/>
    <x v="1"/>
    <n v="78"/>
    <n v="3"/>
    <x v="1"/>
    <x v="2"/>
    <n v="4"/>
    <s v="Single"/>
    <n v="2647"/>
    <n v="13672"/>
    <n v="1"/>
    <s v="Y"/>
    <x v="1"/>
    <n v="13"/>
    <n v="3"/>
    <n v="3"/>
    <n v="80"/>
    <n v="0"/>
    <n v="5"/>
    <n v="6"/>
    <n v="4"/>
    <x v="8"/>
    <n v="2"/>
    <n v="1"/>
    <n v="4"/>
  </r>
  <r>
    <n v="40"/>
    <x v="1"/>
    <s v="Travel_Frequently"/>
    <n v="692"/>
    <x v="1"/>
    <x v="13"/>
    <n v="3"/>
    <s v="Technical Degree"/>
    <n v="1"/>
    <n v="1985"/>
    <n v="4"/>
    <x v="0"/>
    <n v="73"/>
    <n v="3"/>
    <x v="0"/>
    <x v="2"/>
    <n v="3"/>
    <s v="Married"/>
    <n v="6323"/>
    <n v="26849"/>
    <n v="1"/>
    <s v="Y"/>
    <x v="1"/>
    <n v="11"/>
    <n v="3"/>
    <n v="1"/>
    <n v="80"/>
    <n v="1"/>
    <n v="10"/>
    <n v="2"/>
    <n v="4"/>
    <x v="1"/>
    <n v="9"/>
    <n v="9"/>
    <n v="4"/>
  </r>
  <r>
    <n v="40"/>
    <x v="1"/>
    <s v="Travel_Rarely"/>
    <n v="444"/>
    <x v="0"/>
    <x v="2"/>
    <n v="2"/>
    <s v="Marketing"/>
    <n v="1"/>
    <n v="1986"/>
    <n v="2"/>
    <x v="0"/>
    <n v="92"/>
    <n v="3"/>
    <x v="0"/>
    <x v="0"/>
    <n v="2"/>
    <s v="Married"/>
    <n v="5677"/>
    <n v="4258"/>
    <n v="3"/>
    <s v="Y"/>
    <x v="1"/>
    <n v="14"/>
    <n v="3"/>
    <n v="3"/>
    <n v="80"/>
    <n v="1"/>
    <n v="15"/>
    <n v="4"/>
    <n v="3"/>
    <x v="19"/>
    <n v="8"/>
    <n v="5"/>
    <n v="10"/>
  </r>
  <r>
    <n v="25"/>
    <x v="1"/>
    <s v="Travel_Rarely"/>
    <n v="309"/>
    <x v="2"/>
    <x v="2"/>
    <n v="3"/>
    <s v="Human Resources"/>
    <n v="1"/>
    <n v="1987"/>
    <n v="3"/>
    <x v="0"/>
    <n v="82"/>
    <n v="3"/>
    <x v="1"/>
    <x v="8"/>
    <n v="2"/>
    <s v="Married"/>
    <n v="2187"/>
    <n v="19655"/>
    <n v="4"/>
    <s v="Y"/>
    <x v="1"/>
    <n v="14"/>
    <n v="3"/>
    <n v="3"/>
    <n v="80"/>
    <n v="0"/>
    <n v="6"/>
    <n v="3"/>
    <n v="3"/>
    <x v="4"/>
    <n v="0"/>
    <n v="1"/>
    <n v="2"/>
  </r>
  <r>
    <n v="30"/>
    <x v="1"/>
    <s v="Travel_Rarely"/>
    <n v="911"/>
    <x v="1"/>
    <x v="0"/>
    <n v="2"/>
    <s v="Medical"/>
    <n v="1"/>
    <n v="1989"/>
    <n v="4"/>
    <x v="1"/>
    <n v="76"/>
    <n v="3"/>
    <x v="1"/>
    <x v="2"/>
    <n v="2"/>
    <s v="Married"/>
    <n v="3748"/>
    <n v="4077"/>
    <n v="1"/>
    <s v="Y"/>
    <x v="1"/>
    <n v="13"/>
    <n v="3"/>
    <n v="3"/>
    <n v="80"/>
    <n v="0"/>
    <n v="12"/>
    <n v="6"/>
    <n v="2"/>
    <x v="12"/>
    <n v="8"/>
    <n v="1"/>
    <n v="7"/>
  </r>
  <r>
    <n v="25"/>
    <x v="1"/>
    <s v="Travel_Rarely"/>
    <n v="977"/>
    <x v="1"/>
    <x v="2"/>
    <n v="1"/>
    <s v="Other"/>
    <n v="1"/>
    <n v="1992"/>
    <n v="4"/>
    <x v="1"/>
    <n v="57"/>
    <n v="3"/>
    <x v="1"/>
    <x v="2"/>
    <n v="3"/>
    <s v="Divorced"/>
    <n v="3977"/>
    <n v="7298"/>
    <n v="6"/>
    <s v="Y"/>
    <x v="0"/>
    <n v="19"/>
    <n v="3"/>
    <n v="3"/>
    <n v="80"/>
    <n v="1"/>
    <n v="7"/>
    <n v="2"/>
    <n v="2"/>
    <x v="4"/>
    <n v="2"/>
    <n v="0"/>
    <n v="2"/>
  </r>
  <r>
    <n v="47"/>
    <x v="1"/>
    <s v="Travel_Rarely"/>
    <n v="1180"/>
    <x v="1"/>
    <x v="19"/>
    <n v="3"/>
    <s v="Medical"/>
    <n v="1"/>
    <n v="1993"/>
    <n v="1"/>
    <x v="1"/>
    <n v="84"/>
    <n v="3"/>
    <x v="2"/>
    <x v="4"/>
    <n v="3"/>
    <s v="Single"/>
    <n v="8633"/>
    <n v="13084"/>
    <n v="2"/>
    <s v="Y"/>
    <x v="1"/>
    <n v="23"/>
    <n v="4"/>
    <n v="2"/>
    <n v="80"/>
    <n v="0"/>
    <n v="25"/>
    <n v="3"/>
    <n v="3"/>
    <x v="18"/>
    <n v="14"/>
    <n v="12"/>
    <n v="11"/>
  </r>
  <r>
    <n v="33"/>
    <x v="1"/>
    <s v="Non-Travel"/>
    <n v="1313"/>
    <x v="1"/>
    <x v="0"/>
    <n v="2"/>
    <s v="Medical"/>
    <n v="1"/>
    <n v="1994"/>
    <n v="2"/>
    <x v="1"/>
    <n v="59"/>
    <n v="2"/>
    <x v="1"/>
    <x v="2"/>
    <n v="3"/>
    <s v="Divorced"/>
    <n v="2008"/>
    <n v="20439"/>
    <n v="1"/>
    <s v="Y"/>
    <x v="1"/>
    <n v="12"/>
    <n v="3"/>
    <n v="3"/>
    <n v="80"/>
    <n v="3"/>
    <n v="1"/>
    <n v="2"/>
    <n v="2"/>
    <x v="6"/>
    <n v="1"/>
    <n v="0"/>
    <n v="0"/>
  </r>
  <r>
    <n v="38"/>
    <x v="1"/>
    <s v="Travel_Rarely"/>
    <n v="1321"/>
    <x v="0"/>
    <x v="0"/>
    <n v="4"/>
    <s v="Life Sciences"/>
    <n v="1"/>
    <n v="1995"/>
    <n v="4"/>
    <x v="1"/>
    <n v="86"/>
    <n v="3"/>
    <x v="0"/>
    <x v="0"/>
    <n v="2"/>
    <s v="Married"/>
    <n v="4440"/>
    <n v="7636"/>
    <n v="0"/>
    <s v="Y"/>
    <x v="1"/>
    <n v="15"/>
    <n v="3"/>
    <n v="1"/>
    <n v="80"/>
    <n v="2"/>
    <n v="16"/>
    <n v="3"/>
    <n v="3"/>
    <x v="15"/>
    <n v="13"/>
    <n v="5"/>
    <n v="8"/>
  </r>
  <r>
    <n v="31"/>
    <x v="1"/>
    <s v="Travel_Rarely"/>
    <n v="1154"/>
    <x v="0"/>
    <x v="2"/>
    <n v="2"/>
    <s v="Life Sciences"/>
    <n v="1"/>
    <n v="1996"/>
    <n v="1"/>
    <x v="1"/>
    <n v="54"/>
    <n v="3"/>
    <x v="1"/>
    <x v="6"/>
    <n v="3"/>
    <s v="Married"/>
    <n v="3067"/>
    <n v="6393"/>
    <n v="0"/>
    <s v="Y"/>
    <x v="1"/>
    <n v="19"/>
    <n v="3"/>
    <n v="3"/>
    <n v="80"/>
    <n v="1"/>
    <n v="3"/>
    <n v="1"/>
    <n v="3"/>
    <x v="4"/>
    <n v="2"/>
    <n v="1"/>
    <n v="2"/>
  </r>
  <r>
    <n v="38"/>
    <x v="1"/>
    <s v="Travel_Frequently"/>
    <n v="508"/>
    <x v="1"/>
    <x v="16"/>
    <n v="4"/>
    <s v="Life Sciences"/>
    <n v="1"/>
    <n v="1997"/>
    <n v="1"/>
    <x v="1"/>
    <n v="72"/>
    <n v="2"/>
    <x v="0"/>
    <x v="3"/>
    <n v="3"/>
    <s v="Married"/>
    <n v="5321"/>
    <n v="14284"/>
    <n v="2"/>
    <s v="Y"/>
    <x v="1"/>
    <n v="11"/>
    <n v="3"/>
    <n v="4"/>
    <n v="80"/>
    <n v="1"/>
    <n v="10"/>
    <n v="1"/>
    <n v="3"/>
    <x v="3"/>
    <n v="3"/>
    <n v="7"/>
    <n v="7"/>
  </r>
  <r>
    <n v="42"/>
    <x v="1"/>
    <s v="Travel_Rarely"/>
    <n v="557"/>
    <x v="1"/>
    <x v="21"/>
    <n v="4"/>
    <s v="Life Sciences"/>
    <n v="1"/>
    <n v="1998"/>
    <n v="4"/>
    <x v="1"/>
    <n v="35"/>
    <n v="3"/>
    <x v="0"/>
    <x v="1"/>
    <n v="1"/>
    <s v="Divorced"/>
    <n v="5410"/>
    <n v="11189"/>
    <n v="6"/>
    <s v="Y"/>
    <x v="0"/>
    <n v="17"/>
    <n v="3"/>
    <n v="3"/>
    <n v="80"/>
    <n v="1"/>
    <n v="9"/>
    <n v="3"/>
    <n v="2"/>
    <x v="9"/>
    <n v="3"/>
    <n v="1"/>
    <n v="2"/>
  </r>
  <r>
    <n v="41"/>
    <x v="1"/>
    <s v="Travel_Rarely"/>
    <n v="642"/>
    <x v="1"/>
    <x v="0"/>
    <n v="3"/>
    <s v="Life Sciences"/>
    <n v="1"/>
    <n v="1999"/>
    <n v="4"/>
    <x v="1"/>
    <n v="76"/>
    <n v="3"/>
    <x v="1"/>
    <x v="1"/>
    <n v="4"/>
    <s v="Married"/>
    <n v="2782"/>
    <n v="21412"/>
    <n v="3"/>
    <s v="Y"/>
    <x v="1"/>
    <n v="22"/>
    <n v="4"/>
    <n v="1"/>
    <n v="80"/>
    <n v="1"/>
    <n v="12"/>
    <n v="3"/>
    <n v="3"/>
    <x v="8"/>
    <n v="3"/>
    <n v="1"/>
    <n v="0"/>
  </r>
  <r>
    <n v="47"/>
    <x v="1"/>
    <s v="Non-Travel"/>
    <n v="1162"/>
    <x v="1"/>
    <x v="0"/>
    <n v="1"/>
    <s v="Medical"/>
    <n v="1"/>
    <n v="2000"/>
    <n v="3"/>
    <x v="0"/>
    <n v="98"/>
    <n v="3"/>
    <x v="2"/>
    <x v="7"/>
    <n v="2"/>
    <s v="Married"/>
    <n v="11957"/>
    <n v="17231"/>
    <n v="0"/>
    <s v="Y"/>
    <x v="1"/>
    <n v="18"/>
    <n v="3"/>
    <n v="1"/>
    <n v="80"/>
    <n v="2"/>
    <n v="14"/>
    <n v="3"/>
    <n v="1"/>
    <x v="20"/>
    <n v="8"/>
    <n v="5"/>
    <n v="12"/>
  </r>
  <r>
    <n v="35"/>
    <x v="1"/>
    <s v="Travel_Rarely"/>
    <n v="1490"/>
    <x v="1"/>
    <x v="13"/>
    <n v="4"/>
    <s v="Medical"/>
    <n v="1"/>
    <n v="2003"/>
    <n v="4"/>
    <x v="1"/>
    <n v="43"/>
    <n v="3"/>
    <x v="1"/>
    <x v="2"/>
    <n v="3"/>
    <s v="Married"/>
    <n v="2660"/>
    <n v="20232"/>
    <n v="7"/>
    <s v="Y"/>
    <x v="0"/>
    <n v="11"/>
    <n v="3"/>
    <n v="3"/>
    <n v="80"/>
    <n v="1"/>
    <n v="5"/>
    <n v="3"/>
    <n v="3"/>
    <x v="4"/>
    <n v="2"/>
    <n v="2"/>
    <n v="2"/>
  </r>
  <r>
    <n v="22"/>
    <x v="1"/>
    <s v="Travel_Rarely"/>
    <n v="581"/>
    <x v="1"/>
    <x v="0"/>
    <n v="2"/>
    <s v="Life Sciences"/>
    <n v="1"/>
    <n v="2007"/>
    <n v="4"/>
    <x v="1"/>
    <n v="63"/>
    <n v="3"/>
    <x v="1"/>
    <x v="1"/>
    <n v="3"/>
    <s v="Single"/>
    <n v="3375"/>
    <n v="17624"/>
    <n v="0"/>
    <s v="Y"/>
    <x v="1"/>
    <n v="12"/>
    <n v="3"/>
    <n v="4"/>
    <n v="80"/>
    <n v="0"/>
    <n v="4"/>
    <n v="2"/>
    <n v="4"/>
    <x v="11"/>
    <n v="2"/>
    <n v="1"/>
    <n v="2"/>
  </r>
  <r>
    <n v="35"/>
    <x v="1"/>
    <s v="Travel_Rarely"/>
    <n v="1395"/>
    <x v="1"/>
    <x v="14"/>
    <n v="4"/>
    <s v="Medical"/>
    <n v="1"/>
    <n v="2008"/>
    <n v="2"/>
    <x v="1"/>
    <n v="48"/>
    <n v="3"/>
    <x v="0"/>
    <x v="1"/>
    <n v="3"/>
    <s v="Single"/>
    <n v="5098"/>
    <n v="18698"/>
    <n v="1"/>
    <s v="Y"/>
    <x v="1"/>
    <n v="19"/>
    <n v="3"/>
    <n v="2"/>
    <n v="80"/>
    <n v="0"/>
    <n v="10"/>
    <n v="5"/>
    <n v="3"/>
    <x v="1"/>
    <n v="7"/>
    <n v="0"/>
    <n v="8"/>
  </r>
  <r>
    <n v="33"/>
    <x v="1"/>
    <s v="Travel_Rarely"/>
    <n v="501"/>
    <x v="1"/>
    <x v="8"/>
    <n v="2"/>
    <s v="Medical"/>
    <n v="1"/>
    <n v="2009"/>
    <n v="2"/>
    <x v="0"/>
    <n v="95"/>
    <n v="3"/>
    <x v="0"/>
    <x v="4"/>
    <n v="4"/>
    <s v="Married"/>
    <n v="4878"/>
    <n v="21653"/>
    <n v="0"/>
    <s v="Y"/>
    <x v="0"/>
    <n v="13"/>
    <n v="3"/>
    <n v="1"/>
    <n v="80"/>
    <n v="1"/>
    <n v="10"/>
    <n v="6"/>
    <n v="3"/>
    <x v="7"/>
    <n v="7"/>
    <n v="8"/>
    <n v="1"/>
  </r>
  <r>
    <n v="32"/>
    <x v="1"/>
    <s v="Travel_Rarely"/>
    <n v="267"/>
    <x v="1"/>
    <x v="22"/>
    <n v="4"/>
    <s v="Life Sciences"/>
    <n v="1"/>
    <n v="2010"/>
    <n v="3"/>
    <x v="0"/>
    <n v="49"/>
    <n v="2"/>
    <x v="1"/>
    <x v="2"/>
    <n v="2"/>
    <s v="Single"/>
    <n v="2837"/>
    <n v="15919"/>
    <n v="1"/>
    <s v="Y"/>
    <x v="1"/>
    <n v="13"/>
    <n v="3"/>
    <n v="3"/>
    <n v="80"/>
    <n v="0"/>
    <n v="6"/>
    <n v="3"/>
    <n v="3"/>
    <x v="0"/>
    <n v="2"/>
    <n v="4"/>
    <n v="1"/>
  </r>
  <r>
    <n v="40"/>
    <x v="1"/>
    <s v="Travel_Rarely"/>
    <n v="543"/>
    <x v="1"/>
    <x v="0"/>
    <n v="4"/>
    <s v="Life Sciences"/>
    <n v="1"/>
    <n v="2012"/>
    <n v="1"/>
    <x v="1"/>
    <n v="83"/>
    <n v="3"/>
    <x v="1"/>
    <x v="2"/>
    <n v="4"/>
    <s v="Married"/>
    <n v="2406"/>
    <n v="4060"/>
    <n v="8"/>
    <s v="Y"/>
    <x v="1"/>
    <n v="19"/>
    <n v="3"/>
    <n v="3"/>
    <n v="80"/>
    <n v="2"/>
    <n v="8"/>
    <n v="3"/>
    <n v="2"/>
    <x v="6"/>
    <n v="0"/>
    <n v="0"/>
    <n v="0"/>
  </r>
  <r>
    <n v="32"/>
    <x v="1"/>
    <s v="Travel_Rarely"/>
    <n v="234"/>
    <x v="0"/>
    <x v="0"/>
    <n v="4"/>
    <s v="Medical"/>
    <n v="1"/>
    <n v="2013"/>
    <n v="2"/>
    <x v="1"/>
    <n v="68"/>
    <n v="2"/>
    <x v="1"/>
    <x v="6"/>
    <n v="2"/>
    <s v="Married"/>
    <n v="2269"/>
    <n v="18024"/>
    <n v="0"/>
    <s v="Y"/>
    <x v="1"/>
    <n v="14"/>
    <n v="3"/>
    <n v="2"/>
    <n v="80"/>
    <n v="1"/>
    <n v="3"/>
    <n v="2"/>
    <n v="3"/>
    <x v="4"/>
    <n v="2"/>
    <n v="2"/>
    <n v="2"/>
  </r>
  <r>
    <n v="39"/>
    <x v="1"/>
    <s v="Travel_Rarely"/>
    <n v="116"/>
    <x v="1"/>
    <x v="4"/>
    <n v="1"/>
    <s v="Life Sciences"/>
    <n v="1"/>
    <n v="2014"/>
    <n v="1"/>
    <x v="1"/>
    <n v="52"/>
    <n v="3"/>
    <x v="0"/>
    <x v="1"/>
    <n v="4"/>
    <s v="Single"/>
    <n v="4108"/>
    <n v="5340"/>
    <n v="7"/>
    <s v="Y"/>
    <x v="1"/>
    <n v="13"/>
    <n v="3"/>
    <n v="1"/>
    <n v="80"/>
    <n v="0"/>
    <n v="18"/>
    <n v="2"/>
    <n v="3"/>
    <x v="5"/>
    <n v="7"/>
    <n v="1"/>
    <n v="7"/>
  </r>
  <r>
    <n v="38"/>
    <x v="1"/>
    <s v="Travel_Rarely"/>
    <n v="201"/>
    <x v="1"/>
    <x v="17"/>
    <n v="3"/>
    <s v="Medical"/>
    <n v="1"/>
    <n v="2015"/>
    <n v="2"/>
    <x v="0"/>
    <n v="99"/>
    <n v="1"/>
    <x v="2"/>
    <x v="7"/>
    <n v="3"/>
    <s v="Married"/>
    <n v="13206"/>
    <n v="3376"/>
    <n v="3"/>
    <s v="Y"/>
    <x v="1"/>
    <n v="12"/>
    <n v="3"/>
    <n v="1"/>
    <n v="80"/>
    <n v="1"/>
    <n v="20"/>
    <n v="3"/>
    <n v="3"/>
    <x v="29"/>
    <n v="16"/>
    <n v="1"/>
    <n v="11"/>
  </r>
  <r>
    <n v="32"/>
    <x v="1"/>
    <s v="Travel_Rarely"/>
    <n v="801"/>
    <x v="0"/>
    <x v="0"/>
    <n v="4"/>
    <s v="Marketing"/>
    <n v="1"/>
    <n v="2016"/>
    <n v="3"/>
    <x v="0"/>
    <n v="48"/>
    <n v="3"/>
    <x v="2"/>
    <x v="0"/>
    <n v="4"/>
    <s v="Married"/>
    <n v="10422"/>
    <n v="24032"/>
    <n v="1"/>
    <s v="Y"/>
    <x v="1"/>
    <n v="19"/>
    <n v="3"/>
    <n v="3"/>
    <n v="80"/>
    <n v="2"/>
    <n v="14"/>
    <n v="3"/>
    <n v="3"/>
    <x v="13"/>
    <n v="10"/>
    <n v="5"/>
    <n v="7"/>
  </r>
  <r>
    <n v="37"/>
    <x v="1"/>
    <s v="Travel_Rarely"/>
    <n v="161"/>
    <x v="1"/>
    <x v="17"/>
    <n v="3"/>
    <s v="Life Sciences"/>
    <n v="1"/>
    <n v="2017"/>
    <n v="3"/>
    <x v="0"/>
    <n v="42"/>
    <n v="4"/>
    <x v="2"/>
    <x v="7"/>
    <n v="4"/>
    <s v="Married"/>
    <n v="13744"/>
    <n v="15471"/>
    <n v="1"/>
    <s v="Y"/>
    <x v="0"/>
    <n v="25"/>
    <n v="4"/>
    <n v="1"/>
    <n v="80"/>
    <n v="1"/>
    <n v="16"/>
    <n v="2"/>
    <n v="3"/>
    <x v="22"/>
    <n v="11"/>
    <n v="6"/>
    <n v="8"/>
  </r>
  <r>
    <n v="25"/>
    <x v="1"/>
    <s v="Travel_Rarely"/>
    <n v="1382"/>
    <x v="0"/>
    <x v="1"/>
    <n v="2"/>
    <s v="Other"/>
    <n v="1"/>
    <n v="2018"/>
    <n v="1"/>
    <x v="0"/>
    <n v="85"/>
    <n v="3"/>
    <x v="0"/>
    <x v="0"/>
    <n v="3"/>
    <s v="Divorced"/>
    <n v="4907"/>
    <n v="13684"/>
    <n v="0"/>
    <s v="Y"/>
    <x v="0"/>
    <n v="22"/>
    <n v="4"/>
    <n v="2"/>
    <n v="80"/>
    <n v="1"/>
    <n v="6"/>
    <n v="3"/>
    <n v="2"/>
    <x v="8"/>
    <n v="3"/>
    <n v="0"/>
    <n v="4"/>
  </r>
  <r>
    <n v="52"/>
    <x v="1"/>
    <s v="Non-Travel"/>
    <n v="585"/>
    <x v="0"/>
    <x v="22"/>
    <n v="4"/>
    <s v="Life Sciences"/>
    <n v="1"/>
    <n v="2019"/>
    <n v="1"/>
    <x v="1"/>
    <n v="40"/>
    <n v="3"/>
    <x v="1"/>
    <x v="6"/>
    <n v="4"/>
    <s v="Divorced"/>
    <n v="3482"/>
    <n v="19788"/>
    <n v="2"/>
    <s v="Y"/>
    <x v="1"/>
    <n v="15"/>
    <n v="3"/>
    <n v="2"/>
    <n v="80"/>
    <n v="2"/>
    <n v="16"/>
    <n v="3"/>
    <n v="2"/>
    <x v="7"/>
    <n v="8"/>
    <n v="0"/>
    <n v="0"/>
  </r>
  <r>
    <n v="44"/>
    <x v="1"/>
    <s v="Travel_Rarely"/>
    <n v="1037"/>
    <x v="1"/>
    <x v="0"/>
    <n v="3"/>
    <s v="Medical"/>
    <n v="1"/>
    <n v="2020"/>
    <n v="2"/>
    <x v="1"/>
    <n v="42"/>
    <n v="3"/>
    <x v="1"/>
    <x v="1"/>
    <n v="4"/>
    <s v="Single"/>
    <n v="2436"/>
    <n v="13422"/>
    <n v="6"/>
    <s v="Y"/>
    <x v="0"/>
    <n v="12"/>
    <n v="3"/>
    <n v="3"/>
    <n v="80"/>
    <n v="0"/>
    <n v="6"/>
    <n v="2"/>
    <n v="3"/>
    <x v="9"/>
    <n v="3"/>
    <n v="1"/>
    <n v="2"/>
  </r>
  <r>
    <n v="21"/>
    <x v="1"/>
    <s v="Travel_Rarely"/>
    <n v="501"/>
    <x v="0"/>
    <x v="12"/>
    <n v="1"/>
    <s v="Medical"/>
    <n v="1"/>
    <n v="2021"/>
    <n v="3"/>
    <x v="1"/>
    <n v="58"/>
    <n v="3"/>
    <x v="1"/>
    <x v="6"/>
    <n v="1"/>
    <s v="Single"/>
    <n v="2380"/>
    <n v="25479"/>
    <n v="1"/>
    <s v="Y"/>
    <x v="0"/>
    <n v="11"/>
    <n v="3"/>
    <n v="4"/>
    <n v="80"/>
    <n v="0"/>
    <n v="2"/>
    <n v="6"/>
    <n v="3"/>
    <x v="4"/>
    <n v="2"/>
    <n v="1"/>
    <n v="2"/>
  </r>
  <r>
    <n v="39"/>
    <x v="1"/>
    <s v="Non-Travel"/>
    <n v="105"/>
    <x v="1"/>
    <x v="14"/>
    <n v="3"/>
    <s v="Life Sciences"/>
    <n v="1"/>
    <n v="2022"/>
    <n v="4"/>
    <x v="1"/>
    <n v="87"/>
    <n v="3"/>
    <x v="4"/>
    <x v="5"/>
    <n v="4"/>
    <s v="Single"/>
    <n v="19431"/>
    <n v="15302"/>
    <n v="2"/>
    <s v="Y"/>
    <x v="1"/>
    <n v="13"/>
    <n v="3"/>
    <n v="3"/>
    <n v="80"/>
    <n v="0"/>
    <n v="21"/>
    <n v="3"/>
    <n v="2"/>
    <x v="0"/>
    <n v="0"/>
    <n v="1"/>
    <n v="3"/>
  </r>
  <r>
    <n v="23"/>
    <x v="0"/>
    <s v="Travel_Frequently"/>
    <n v="638"/>
    <x v="0"/>
    <x v="14"/>
    <n v="3"/>
    <s v="Marketing"/>
    <n v="1"/>
    <n v="2023"/>
    <n v="4"/>
    <x v="1"/>
    <n v="33"/>
    <n v="3"/>
    <x v="1"/>
    <x v="6"/>
    <n v="1"/>
    <s v="Married"/>
    <n v="1790"/>
    <n v="26956"/>
    <n v="1"/>
    <s v="Y"/>
    <x v="1"/>
    <n v="19"/>
    <n v="3"/>
    <n v="1"/>
    <n v="80"/>
    <n v="1"/>
    <n v="1"/>
    <n v="3"/>
    <n v="2"/>
    <x v="6"/>
    <n v="0"/>
    <n v="1"/>
    <n v="0"/>
  </r>
  <r>
    <n v="36"/>
    <x v="1"/>
    <s v="Travel_Rarely"/>
    <n v="557"/>
    <x v="0"/>
    <x v="3"/>
    <n v="3"/>
    <s v="Medical"/>
    <n v="1"/>
    <n v="2024"/>
    <n v="1"/>
    <x v="0"/>
    <n v="94"/>
    <n v="2"/>
    <x v="2"/>
    <x v="0"/>
    <n v="4"/>
    <s v="Married"/>
    <n v="7644"/>
    <n v="12695"/>
    <n v="0"/>
    <s v="Y"/>
    <x v="1"/>
    <n v="19"/>
    <n v="3"/>
    <n v="3"/>
    <n v="80"/>
    <n v="2"/>
    <n v="10"/>
    <n v="2"/>
    <n v="3"/>
    <x v="7"/>
    <n v="7"/>
    <n v="3"/>
    <n v="4"/>
  </r>
  <r>
    <n v="36"/>
    <x v="1"/>
    <s v="Travel_Frequently"/>
    <n v="688"/>
    <x v="1"/>
    <x v="18"/>
    <n v="2"/>
    <s v="Life Sciences"/>
    <n v="1"/>
    <n v="2025"/>
    <n v="4"/>
    <x v="0"/>
    <n v="97"/>
    <n v="3"/>
    <x v="0"/>
    <x v="3"/>
    <n v="2"/>
    <s v="Divorced"/>
    <n v="5131"/>
    <n v="9192"/>
    <n v="7"/>
    <s v="Y"/>
    <x v="1"/>
    <n v="13"/>
    <n v="3"/>
    <n v="2"/>
    <n v="80"/>
    <n v="3"/>
    <n v="18"/>
    <n v="3"/>
    <n v="3"/>
    <x v="9"/>
    <n v="2"/>
    <n v="0"/>
    <n v="2"/>
  </r>
  <r>
    <n v="56"/>
    <x v="1"/>
    <s v="Non-Travel"/>
    <n v="667"/>
    <x v="1"/>
    <x v="0"/>
    <n v="4"/>
    <s v="Life Sciences"/>
    <n v="1"/>
    <n v="2026"/>
    <n v="3"/>
    <x v="1"/>
    <n v="57"/>
    <n v="3"/>
    <x v="0"/>
    <x v="4"/>
    <n v="3"/>
    <s v="Divorced"/>
    <n v="6306"/>
    <n v="26236"/>
    <n v="1"/>
    <s v="Y"/>
    <x v="1"/>
    <n v="21"/>
    <n v="4"/>
    <n v="1"/>
    <n v="80"/>
    <n v="1"/>
    <n v="13"/>
    <n v="2"/>
    <n v="2"/>
    <x v="20"/>
    <n v="12"/>
    <n v="1"/>
    <n v="9"/>
  </r>
  <r>
    <n v="29"/>
    <x v="0"/>
    <s v="Travel_Rarely"/>
    <n v="1092"/>
    <x v="1"/>
    <x v="0"/>
    <n v="4"/>
    <s v="Medical"/>
    <n v="1"/>
    <n v="2027"/>
    <n v="1"/>
    <x v="1"/>
    <n v="36"/>
    <n v="3"/>
    <x v="1"/>
    <x v="1"/>
    <n v="4"/>
    <s v="Married"/>
    <n v="4787"/>
    <n v="26124"/>
    <n v="9"/>
    <s v="Y"/>
    <x v="0"/>
    <n v="14"/>
    <n v="3"/>
    <n v="2"/>
    <n v="80"/>
    <n v="3"/>
    <n v="4"/>
    <n v="3"/>
    <n v="4"/>
    <x v="4"/>
    <n v="2"/>
    <n v="2"/>
    <n v="2"/>
  </r>
  <r>
    <n v="42"/>
    <x v="1"/>
    <s v="Travel_Rarely"/>
    <n v="300"/>
    <x v="1"/>
    <x v="2"/>
    <n v="3"/>
    <s v="Life Sciences"/>
    <n v="1"/>
    <n v="2031"/>
    <n v="1"/>
    <x v="1"/>
    <n v="56"/>
    <n v="3"/>
    <x v="4"/>
    <x v="5"/>
    <n v="3"/>
    <s v="Married"/>
    <n v="18880"/>
    <n v="17312"/>
    <n v="5"/>
    <s v="Y"/>
    <x v="1"/>
    <n v="11"/>
    <n v="3"/>
    <n v="1"/>
    <n v="80"/>
    <n v="0"/>
    <n v="24"/>
    <n v="2"/>
    <n v="2"/>
    <x v="14"/>
    <n v="6"/>
    <n v="4"/>
    <n v="14"/>
  </r>
  <r>
    <n v="56"/>
    <x v="0"/>
    <s v="Travel_Rarely"/>
    <n v="310"/>
    <x v="1"/>
    <x v="15"/>
    <n v="2"/>
    <s v="Technical Degree"/>
    <n v="1"/>
    <n v="2032"/>
    <n v="4"/>
    <x v="1"/>
    <n v="72"/>
    <n v="3"/>
    <x v="1"/>
    <x v="2"/>
    <n v="3"/>
    <s v="Married"/>
    <n v="2339"/>
    <n v="3666"/>
    <n v="8"/>
    <s v="Y"/>
    <x v="1"/>
    <n v="11"/>
    <n v="3"/>
    <n v="4"/>
    <n v="80"/>
    <n v="1"/>
    <n v="14"/>
    <n v="4"/>
    <n v="1"/>
    <x v="1"/>
    <n v="9"/>
    <n v="9"/>
    <n v="8"/>
  </r>
  <r>
    <n v="41"/>
    <x v="1"/>
    <s v="Travel_Rarely"/>
    <n v="582"/>
    <x v="1"/>
    <x v="26"/>
    <n v="4"/>
    <s v="Life Sciences"/>
    <n v="1"/>
    <n v="2034"/>
    <n v="1"/>
    <x v="0"/>
    <n v="60"/>
    <n v="2"/>
    <x v="3"/>
    <x v="3"/>
    <n v="2"/>
    <s v="Married"/>
    <n v="13570"/>
    <n v="5640"/>
    <n v="0"/>
    <s v="Y"/>
    <x v="1"/>
    <n v="23"/>
    <n v="4"/>
    <n v="3"/>
    <n v="80"/>
    <n v="1"/>
    <n v="21"/>
    <n v="3"/>
    <n v="3"/>
    <x v="23"/>
    <n v="7"/>
    <n v="0"/>
    <n v="10"/>
  </r>
  <r>
    <n v="34"/>
    <x v="1"/>
    <s v="Travel_Rarely"/>
    <n v="704"/>
    <x v="0"/>
    <x v="26"/>
    <n v="3"/>
    <s v="Marketing"/>
    <n v="1"/>
    <n v="2035"/>
    <n v="4"/>
    <x v="0"/>
    <n v="95"/>
    <n v="2"/>
    <x v="0"/>
    <x v="0"/>
    <n v="3"/>
    <s v="Married"/>
    <n v="6712"/>
    <n v="8978"/>
    <n v="1"/>
    <s v="Y"/>
    <x v="1"/>
    <n v="21"/>
    <n v="4"/>
    <n v="4"/>
    <n v="80"/>
    <n v="2"/>
    <n v="8"/>
    <n v="2"/>
    <n v="3"/>
    <x v="3"/>
    <n v="7"/>
    <n v="1"/>
    <n v="7"/>
  </r>
  <r>
    <n v="36"/>
    <x v="1"/>
    <s v="Non-Travel"/>
    <n v="301"/>
    <x v="0"/>
    <x v="8"/>
    <n v="4"/>
    <s v="Marketing"/>
    <n v="1"/>
    <n v="2036"/>
    <n v="4"/>
    <x v="1"/>
    <n v="88"/>
    <n v="1"/>
    <x v="0"/>
    <x v="0"/>
    <n v="4"/>
    <s v="Divorced"/>
    <n v="5406"/>
    <n v="10436"/>
    <n v="1"/>
    <s v="Y"/>
    <x v="1"/>
    <n v="24"/>
    <n v="4"/>
    <n v="1"/>
    <n v="80"/>
    <n v="1"/>
    <n v="15"/>
    <n v="4"/>
    <n v="2"/>
    <x v="15"/>
    <n v="12"/>
    <n v="11"/>
    <n v="11"/>
  </r>
  <r>
    <n v="41"/>
    <x v="1"/>
    <s v="Travel_Rarely"/>
    <n v="930"/>
    <x v="0"/>
    <x v="3"/>
    <n v="3"/>
    <s v="Life Sciences"/>
    <n v="1"/>
    <n v="2037"/>
    <n v="3"/>
    <x v="1"/>
    <n v="57"/>
    <n v="2"/>
    <x v="0"/>
    <x v="0"/>
    <n v="2"/>
    <s v="Divorced"/>
    <n v="8938"/>
    <n v="12227"/>
    <n v="2"/>
    <s v="Y"/>
    <x v="1"/>
    <n v="11"/>
    <n v="3"/>
    <n v="3"/>
    <n v="80"/>
    <n v="1"/>
    <n v="14"/>
    <n v="5"/>
    <n v="3"/>
    <x v="8"/>
    <n v="4"/>
    <n v="0"/>
    <n v="4"/>
  </r>
  <r>
    <n v="32"/>
    <x v="1"/>
    <s v="Travel_Rarely"/>
    <n v="529"/>
    <x v="1"/>
    <x v="2"/>
    <n v="3"/>
    <s v="Technical Degree"/>
    <n v="1"/>
    <n v="2038"/>
    <n v="4"/>
    <x v="1"/>
    <n v="78"/>
    <n v="3"/>
    <x v="1"/>
    <x v="1"/>
    <n v="1"/>
    <s v="Single"/>
    <n v="2439"/>
    <n v="11288"/>
    <n v="1"/>
    <s v="Y"/>
    <x v="1"/>
    <n v="14"/>
    <n v="3"/>
    <n v="4"/>
    <n v="80"/>
    <n v="0"/>
    <n v="4"/>
    <n v="4"/>
    <n v="3"/>
    <x v="9"/>
    <n v="2"/>
    <n v="1"/>
    <n v="2"/>
  </r>
  <r>
    <n v="35"/>
    <x v="1"/>
    <s v="Travel_Rarely"/>
    <n v="1146"/>
    <x v="2"/>
    <x v="9"/>
    <n v="4"/>
    <s v="Life Sciences"/>
    <n v="1"/>
    <n v="2040"/>
    <n v="3"/>
    <x v="0"/>
    <n v="31"/>
    <n v="3"/>
    <x v="2"/>
    <x v="8"/>
    <n v="4"/>
    <s v="Single"/>
    <n v="8837"/>
    <n v="16642"/>
    <n v="1"/>
    <s v="Y"/>
    <x v="0"/>
    <n v="16"/>
    <n v="3"/>
    <n v="3"/>
    <n v="80"/>
    <n v="0"/>
    <n v="9"/>
    <n v="2"/>
    <n v="3"/>
    <x v="7"/>
    <n v="0"/>
    <n v="1"/>
    <n v="7"/>
  </r>
  <r>
    <n v="38"/>
    <x v="1"/>
    <s v="Travel_Rarely"/>
    <n v="345"/>
    <x v="0"/>
    <x v="17"/>
    <n v="2"/>
    <s v="Life Sciences"/>
    <n v="1"/>
    <n v="2041"/>
    <n v="1"/>
    <x v="0"/>
    <n v="100"/>
    <n v="3"/>
    <x v="0"/>
    <x v="0"/>
    <n v="4"/>
    <s v="Married"/>
    <n v="5343"/>
    <n v="5982"/>
    <n v="1"/>
    <s v="Y"/>
    <x v="1"/>
    <n v="11"/>
    <n v="3"/>
    <n v="3"/>
    <n v="80"/>
    <n v="1"/>
    <n v="10"/>
    <n v="1"/>
    <n v="3"/>
    <x v="1"/>
    <n v="7"/>
    <n v="1"/>
    <n v="9"/>
  </r>
  <r>
    <n v="50"/>
    <x v="0"/>
    <s v="Travel_Frequently"/>
    <n v="878"/>
    <x v="0"/>
    <x v="0"/>
    <n v="4"/>
    <s v="Life Sciences"/>
    <n v="1"/>
    <n v="2044"/>
    <n v="2"/>
    <x v="1"/>
    <n v="94"/>
    <n v="3"/>
    <x v="0"/>
    <x v="0"/>
    <n v="3"/>
    <s v="Divorced"/>
    <n v="6728"/>
    <n v="14255"/>
    <n v="7"/>
    <s v="Y"/>
    <x v="1"/>
    <n v="12"/>
    <n v="3"/>
    <n v="4"/>
    <n v="80"/>
    <n v="2"/>
    <n v="12"/>
    <n v="3"/>
    <n v="3"/>
    <x v="0"/>
    <n v="3"/>
    <n v="0"/>
    <n v="1"/>
  </r>
  <r>
    <n v="36"/>
    <x v="1"/>
    <s v="Travel_Rarely"/>
    <n v="1120"/>
    <x v="0"/>
    <x v="13"/>
    <n v="4"/>
    <s v="Marketing"/>
    <n v="1"/>
    <n v="2045"/>
    <n v="2"/>
    <x v="0"/>
    <n v="100"/>
    <n v="2"/>
    <x v="0"/>
    <x v="0"/>
    <n v="4"/>
    <s v="Married"/>
    <n v="6652"/>
    <n v="14369"/>
    <n v="4"/>
    <s v="Y"/>
    <x v="1"/>
    <n v="13"/>
    <n v="3"/>
    <n v="1"/>
    <n v="80"/>
    <n v="1"/>
    <n v="8"/>
    <n v="2"/>
    <n v="2"/>
    <x v="0"/>
    <n v="3"/>
    <n v="0"/>
    <n v="0"/>
  </r>
  <r>
    <n v="45"/>
    <x v="1"/>
    <s v="Travel_Rarely"/>
    <n v="374"/>
    <x v="0"/>
    <x v="25"/>
    <n v="3"/>
    <s v="Life Sciences"/>
    <n v="1"/>
    <n v="2046"/>
    <n v="4"/>
    <x v="0"/>
    <n v="50"/>
    <n v="3"/>
    <x v="0"/>
    <x v="0"/>
    <n v="3"/>
    <s v="Single"/>
    <n v="4850"/>
    <n v="23333"/>
    <n v="8"/>
    <s v="Y"/>
    <x v="1"/>
    <n v="15"/>
    <n v="3"/>
    <n v="3"/>
    <n v="80"/>
    <n v="0"/>
    <n v="8"/>
    <n v="3"/>
    <n v="3"/>
    <x v="8"/>
    <n v="3"/>
    <n v="0"/>
    <n v="1"/>
  </r>
  <r>
    <n v="40"/>
    <x v="1"/>
    <s v="Travel_Rarely"/>
    <n v="1322"/>
    <x v="1"/>
    <x v="2"/>
    <n v="4"/>
    <s v="Life Sciences"/>
    <n v="1"/>
    <n v="2048"/>
    <n v="3"/>
    <x v="1"/>
    <n v="52"/>
    <n v="2"/>
    <x v="1"/>
    <x v="1"/>
    <n v="3"/>
    <s v="Single"/>
    <n v="2809"/>
    <n v="2725"/>
    <n v="2"/>
    <s v="Y"/>
    <x v="1"/>
    <n v="14"/>
    <n v="3"/>
    <n v="4"/>
    <n v="80"/>
    <n v="0"/>
    <n v="8"/>
    <n v="2"/>
    <n v="3"/>
    <x v="4"/>
    <n v="2"/>
    <n v="2"/>
    <n v="2"/>
  </r>
  <r>
    <n v="35"/>
    <x v="1"/>
    <s v="Travel_Frequently"/>
    <n v="1199"/>
    <x v="1"/>
    <x v="21"/>
    <n v="4"/>
    <s v="Life Sciences"/>
    <n v="1"/>
    <n v="2049"/>
    <n v="3"/>
    <x v="1"/>
    <n v="80"/>
    <n v="3"/>
    <x v="0"/>
    <x v="4"/>
    <n v="3"/>
    <s v="Married"/>
    <n v="5689"/>
    <n v="24594"/>
    <n v="1"/>
    <s v="Y"/>
    <x v="0"/>
    <n v="14"/>
    <n v="3"/>
    <n v="4"/>
    <n v="80"/>
    <n v="2"/>
    <n v="10"/>
    <n v="2"/>
    <n v="4"/>
    <x v="1"/>
    <n v="2"/>
    <n v="0"/>
    <n v="2"/>
  </r>
  <r>
    <n v="40"/>
    <x v="1"/>
    <s v="Travel_Rarely"/>
    <n v="1194"/>
    <x v="1"/>
    <x v="2"/>
    <n v="4"/>
    <s v="Medical"/>
    <n v="1"/>
    <n v="2051"/>
    <n v="3"/>
    <x v="0"/>
    <n v="98"/>
    <n v="3"/>
    <x v="1"/>
    <x v="1"/>
    <n v="3"/>
    <s v="Married"/>
    <n v="2001"/>
    <n v="12549"/>
    <n v="2"/>
    <s v="Y"/>
    <x v="1"/>
    <n v="14"/>
    <n v="3"/>
    <n v="2"/>
    <n v="80"/>
    <n v="3"/>
    <n v="20"/>
    <n v="2"/>
    <n v="3"/>
    <x v="8"/>
    <n v="3"/>
    <n v="0"/>
    <n v="2"/>
  </r>
  <r>
    <n v="35"/>
    <x v="1"/>
    <s v="Travel_Rarely"/>
    <n v="287"/>
    <x v="1"/>
    <x v="0"/>
    <n v="4"/>
    <s v="Life Sciences"/>
    <n v="1"/>
    <n v="2052"/>
    <n v="3"/>
    <x v="0"/>
    <n v="62"/>
    <n v="1"/>
    <x v="1"/>
    <x v="1"/>
    <n v="4"/>
    <s v="Married"/>
    <n v="2977"/>
    <n v="8952"/>
    <n v="1"/>
    <s v="Y"/>
    <x v="1"/>
    <n v="12"/>
    <n v="3"/>
    <n v="4"/>
    <n v="80"/>
    <n v="1"/>
    <n v="4"/>
    <n v="5"/>
    <n v="3"/>
    <x v="9"/>
    <n v="3"/>
    <n v="1"/>
    <n v="1"/>
  </r>
  <r>
    <n v="29"/>
    <x v="1"/>
    <s v="Travel_Rarely"/>
    <n v="1378"/>
    <x v="1"/>
    <x v="28"/>
    <n v="2"/>
    <s v="Other"/>
    <n v="1"/>
    <n v="2053"/>
    <n v="4"/>
    <x v="1"/>
    <n v="46"/>
    <n v="2"/>
    <x v="0"/>
    <x v="2"/>
    <n v="2"/>
    <s v="Married"/>
    <n v="4025"/>
    <n v="23679"/>
    <n v="4"/>
    <s v="Y"/>
    <x v="0"/>
    <n v="13"/>
    <n v="3"/>
    <n v="1"/>
    <n v="80"/>
    <n v="1"/>
    <n v="10"/>
    <n v="2"/>
    <n v="3"/>
    <x v="9"/>
    <n v="3"/>
    <n v="0"/>
    <n v="3"/>
  </r>
  <r>
    <n v="29"/>
    <x v="1"/>
    <s v="Travel_Rarely"/>
    <n v="468"/>
    <x v="1"/>
    <x v="26"/>
    <n v="4"/>
    <s v="Medical"/>
    <n v="1"/>
    <n v="2054"/>
    <n v="4"/>
    <x v="0"/>
    <n v="73"/>
    <n v="2"/>
    <x v="1"/>
    <x v="1"/>
    <n v="1"/>
    <s v="Single"/>
    <n v="3785"/>
    <n v="8489"/>
    <n v="1"/>
    <s v="Y"/>
    <x v="1"/>
    <n v="14"/>
    <n v="3"/>
    <n v="2"/>
    <n v="80"/>
    <n v="0"/>
    <n v="5"/>
    <n v="3"/>
    <n v="1"/>
    <x v="8"/>
    <n v="4"/>
    <n v="0"/>
    <n v="4"/>
  </r>
  <r>
    <n v="50"/>
    <x v="0"/>
    <s v="Travel_Rarely"/>
    <n v="410"/>
    <x v="0"/>
    <x v="26"/>
    <n v="3"/>
    <s v="Marketing"/>
    <n v="1"/>
    <n v="2055"/>
    <n v="4"/>
    <x v="1"/>
    <n v="39"/>
    <n v="2"/>
    <x v="2"/>
    <x v="0"/>
    <n v="1"/>
    <s v="Divorced"/>
    <n v="10854"/>
    <n v="16586"/>
    <n v="4"/>
    <s v="Y"/>
    <x v="0"/>
    <n v="13"/>
    <n v="3"/>
    <n v="2"/>
    <n v="80"/>
    <n v="1"/>
    <n v="20"/>
    <n v="3"/>
    <n v="3"/>
    <x v="11"/>
    <n v="2"/>
    <n v="2"/>
    <n v="0"/>
  </r>
  <r>
    <n v="39"/>
    <x v="1"/>
    <s v="Travel_Rarely"/>
    <n v="722"/>
    <x v="0"/>
    <x v="4"/>
    <n v="1"/>
    <s v="Marketing"/>
    <n v="1"/>
    <n v="2056"/>
    <n v="2"/>
    <x v="0"/>
    <n v="60"/>
    <n v="2"/>
    <x v="3"/>
    <x v="0"/>
    <n v="4"/>
    <s v="Married"/>
    <n v="12031"/>
    <n v="8828"/>
    <n v="0"/>
    <s v="Y"/>
    <x v="1"/>
    <n v="11"/>
    <n v="3"/>
    <n v="1"/>
    <n v="80"/>
    <n v="1"/>
    <n v="21"/>
    <n v="2"/>
    <n v="2"/>
    <x v="23"/>
    <n v="9"/>
    <n v="9"/>
    <n v="6"/>
  </r>
  <r>
    <n v="31"/>
    <x v="1"/>
    <s v="Non-Travel"/>
    <n v="325"/>
    <x v="1"/>
    <x v="12"/>
    <n v="3"/>
    <s v="Medical"/>
    <n v="1"/>
    <n v="2057"/>
    <n v="2"/>
    <x v="1"/>
    <n v="74"/>
    <n v="3"/>
    <x v="0"/>
    <x v="3"/>
    <n v="1"/>
    <s v="Single"/>
    <n v="9936"/>
    <n v="3787"/>
    <n v="0"/>
    <s v="Y"/>
    <x v="1"/>
    <n v="19"/>
    <n v="3"/>
    <n v="2"/>
    <n v="80"/>
    <n v="0"/>
    <n v="10"/>
    <n v="2"/>
    <n v="3"/>
    <x v="7"/>
    <n v="4"/>
    <n v="1"/>
    <n v="7"/>
  </r>
  <r>
    <n v="26"/>
    <x v="1"/>
    <s v="Travel_Rarely"/>
    <n v="1167"/>
    <x v="0"/>
    <x v="12"/>
    <n v="3"/>
    <s v="Other"/>
    <n v="1"/>
    <n v="2060"/>
    <n v="4"/>
    <x v="0"/>
    <n v="30"/>
    <n v="2"/>
    <x v="1"/>
    <x v="6"/>
    <n v="3"/>
    <s v="Single"/>
    <n v="2966"/>
    <n v="21378"/>
    <n v="0"/>
    <s v="Y"/>
    <x v="1"/>
    <n v="18"/>
    <n v="3"/>
    <n v="4"/>
    <n v="80"/>
    <n v="0"/>
    <n v="5"/>
    <n v="2"/>
    <n v="3"/>
    <x v="9"/>
    <n v="2"/>
    <n v="0"/>
    <n v="0"/>
  </r>
  <r>
    <n v="36"/>
    <x v="1"/>
    <s v="Travel_Frequently"/>
    <n v="884"/>
    <x v="1"/>
    <x v="5"/>
    <n v="2"/>
    <s v="Medical"/>
    <n v="1"/>
    <n v="2061"/>
    <n v="3"/>
    <x v="1"/>
    <n v="41"/>
    <n v="4"/>
    <x v="0"/>
    <x v="2"/>
    <n v="4"/>
    <s v="Married"/>
    <n v="2571"/>
    <n v="12290"/>
    <n v="4"/>
    <s v="Y"/>
    <x v="1"/>
    <n v="17"/>
    <n v="3"/>
    <n v="3"/>
    <n v="80"/>
    <n v="1"/>
    <n v="17"/>
    <n v="3"/>
    <n v="3"/>
    <x v="8"/>
    <n v="2"/>
    <n v="0"/>
    <n v="3"/>
  </r>
  <r>
    <n v="39"/>
    <x v="1"/>
    <s v="Travel_Rarely"/>
    <n v="613"/>
    <x v="1"/>
    <x v="16"/>
    <n v="1"/>
    <s v="Medical"/>
    <n v="1"/>
    <n v="2062"/>
    <n v="4"/>
    <x v="1"/>
    <n v="42"/>
    <n v="2"/>
    <x v="2"/>
    <x v="4"/>
    <n v="1"/>
    <s v="Married"/>
    <n v="9991"/>
    <n v="21457"/>
    <n v="4"/>
    <s v="Y"/>
    <x v="1"/>
    <n v="15"/>
    <n v="3"/>
    <n v="1"/>
    <n v="80"/>
    <n v="1"/>
    <n v="9"/>
    <n v="5"/>
    <n v="3"/>
    <x v="5"/>
    <n v="7"/>
    <n v="1"/>
    <n v="7"/>
  </r>
  <r>
    <n v="27"/>
    <x v="1"/>
    <s v="Travel_Rarely"/>
    <n v="155"/>
    <x v="1"/>
    <x v="18"/>
    <n v="3"/>
    <s v="Life Sciences"/>
    <n v="1"/>
    <n v="2064"/>
    <n v="2"/>
    <x v="1"/>
    <n v="87"/>
    <n v="4"/>
    <x v="0"/>
    <x v="3"/>
    <n v="2"/>
    <s v="Married"/>
    <n v="6142"/>
    <n v="5174"/>
    <n v="1"/>
    <s v="Y"/>
    <x v="0"/>
    <n v="20"/>
    <n v="4"/>
    <n v="2"/>
    <n v="80"/>
    <n v="1"/>
    <n v="6"/>
    <n v="0"/>
    <n v="3"/>
    <x v="0"/>
    <n v="2"/>
    <n v="0"/>
    <n v="3"/>
  </r>
  <r>
    <n v="49"/>
    <x v="1"/>
    <s v="Travel_Frequently"/>
    <n v="1023"/>
    <x v="0"/>
    <x v="2"/>
    <n v="3"/>
    <s v="Medical"/>
    <n v="1"/>
    <n v="2065"/>
    <n v="4"/>
    <x v="1"/>
    <n v="63"/>
    <n v="2"/>
    <x v="0"/>
    <x v="0"/>
    <n v="2"/>
    <s v="Married"/>
    <n v="5390"/>
    <n v="13243"/>
    <n v="2"/>
    <s v="Y"/>
    <x v="1"/>
    <n v="14"/>
    <n v="3"/>
    <n v="4"/>
    <n v="80"/>
    <n v="0"/>
    <n v="17"/>
    <n v="3"/>
    <n v="2"/>
    <x v="7"/>
    <n v="6"/>
    <n v="0"/>
    <n v="8"/>
  </r>
  <r>
    <n v="34"/>
    <x v="1"/>
    <s v="Travel_Rarely"/>
    <n v="628"/>
    <x v="1"/>
    <x v="1"/>
    <n v="3"/>
    <s v="Medical"/>
    <n v="1"/>
    <n v="2068"/>
    <n v="2"/>
    <x v="1"/>
    <n v="82"/>
    <n v="4"/>
    <x v="0"/>
    <x v="2"/>
    <n v="3"/>
    <s v="Married"/>
    <n v="4404"/>
    <n v="10228"/>
    <n v="2"/>
    <s v="Y"/>
    <x v="1"/>
    <n v="12"/>
    <n v="3"/>
    <n v="1"/>
    <n v="80"/>
    <n v="0"/>
    <n v="6"/>
    <n v="3"/>
    <n v="4"/>
    <x v="9"/>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8E1F45-3098-4A15-9715-018518092FCE}" name="PivotTable8"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Gender " colHeaderCaption="Attrition rate ">
  <location ref="F7:I11" firstHeaderRow="1" firstDataRow="2" firstDataCol="1"/>
  <pivotFields count="35">
    <pivotField showAll="0"/>
    <pivotField axis="axisCol" showAll="0">
      <items count="3">
        <item x="1"/>
        <item x="0"/>
        <item t="default"/>
      </items>
    </pivotField>
    <pivotField showAll="0"/>
    <pivotField showAll="0"/>
    <pivotField showAll="0">
      <items count="4">
        <item x="0"/>
        <item x="2"/>
        <item x="1"/>
        <item t="default"/>
      </items>
    </pivotField>
    <pivotField showAll="0"/>
    <pivotField showAll="0"/>
    <pivotField showAll="0"/>
    <pivotField showAll="0"/>
    <pivotField dataField="1" showAll="0"/>
    <pivotField showAll="0"/>
    <pivotField axis="axisRow"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Fields count="1">
    <field x="11"/>
  </rowFields>
  <rowItems count="3">
    <i>
      <x/>
    </i>
    <i>
      <x v="1"/>
    </i>
    <i t="grand">
      <x/>
    </i>
  </rowItems>
  <colFields count="1">
    <field x="1"/>
  </colFields>
  <colItems count="3">
    <i>
      <x/>
    </i>
    <i>
      <x v="1"/>
    </i>
    <i t="grand">
      <x/>
    </i>
  </colItems>
  <dataFields count="1">
    <dataField name="Employee % " fld="9" subtotal="count" showDataAs="percentOfRow" baseField="0" baseItem="0" numFmtId="10"/>
  </dataFields>
  <formats count="10">
    <format dxfId="85">
      <pivotArea type="all" dataOnly="0" outline="0" fieldPosition="0"/>
    </format>
    <format dxfId="84">
      <pivotArea outline="0" collapsedLevelsAreSubtotals="1" fieldPosition="0"/>
    </format>
    <format dxfId="83">
      <pivotArea type="origin" dataOnly="0" labelOnly="1" outline="0" fieldPosition="0"/>
    </format>
    <format dxfId="82">
      <pivotArea field="1" type="button" dataOnly="0" labelOnly="1" outline="0" axis="axisCol" fieldPosition="0"/>
    </format>
    <format dxfId="81">
      <pivotArea type="topRight" dataOnly="0" labelOnly="1" outline="0" fieldPosition="0"/>
    </format>
    <format dxfId="80">
      <pivotArea field="11" type="button" dataOnly="0" labelOnly="1" outline="0" axis="axisRow" fieldPosition="0"/>
    </format>
    <format dxfId="79">
      <pivotArea dataOnly="0" labelOnly="1" fieldPosition="0">
        <references count="1">
          <reference field="11" count="0"/>
        </references>
      </pivotArea>
    </format>
    <format dxfId="78">
      <pivotArea dataOnly="0" labelOnly="1" grandRow="1" outline="0" fieldPosition="0"/>
    </format>
    <format dxfId="77">
      <pivotArea dataOnly="0" labelOnly="1" fieldPosition="0">
        <references count="1">
          <reference field="1" count="0"/>
        </references>
      </pivotArea>
    </format>
    <format dxfId="7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7C0470-B2EE-4A4F-9461-1382618F8C6B}" name="PivotTable7"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rowHeaderCaption="Department " colHeaderCaption="Attrition rate ">
  <location ref="A7:D12" firstHeaderRow="1" firstDataRow="2" firstDataCol="1"/>
  <pivotFields count="35">
    <pivotField showAll="0"/>
    <pivotField axis="axisCol" showAll="0">
      <items count="3">
        <item x="1"/>
        <item x="0"/>
        <item t="default"/>
      </items>
    </pivotField>
    <pivotField showAll="0"/>
    <pivotField showAll="0"/>
    <pivotField axis="axisRow" showAll="0">
      <items count="4">
        <item x="0"/>
        <item x="2"/>
        <item x="1"/>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Employee % " fld="9" subtotal="count" showDataAs="percentOfRow" baseField="0" baseItem="0" numFmtId="10"/>
  </dataFields>
  <formats count="20">
    <format dxfId="105">
      <pivotArea type="all" dataOnly="0" outline="0" fieldPosition="0"/>
    </format>
    <format dxfId="104">
      <pivotArea outline="0" collapsedLevelsAreSubtotals="1" fieldPosition="0"/>
    </format>
    <format dxfId="103">
      <pivotArea type="origin" dataOnly="0" labelOnly="1" outline="0" fieldPosition="0"/>
    </format>
    <format dxfId="102">
      <pivotArea field="1" type="button" dataOnly="0" labelOnly="1" outline="0" axis="axisCol" fieldPosition="0"/>
    </format>
    <format dxfId="101">
      <pivotArea type="topRight" dataOnly="0" labelOnly="1" outline="0" fieldPosition="0"/>
    </format>
    <format dxfId="100">
      <pivotArea field="4" type="button" dataOnly="0" labelOnly="1" outline="0" axis="axisRow" fieldPosition="0"/>
    </format>
    <format dxfId="99">
      <pivotArea dataOnly="0" labelOnly="1" fieldPosition="0">
        <references count="1">
          <reference field="4" count="0"/>
        </references>
      </pivotArea>
    </format>
    <format dxfId="98">
      <pivotArea dataOnly="0" labelOnly="1" grandRow="1" outline="0" fieldPosition="0"/>
    </format>
    <format dxfId="97">
      <pivotArea dataOnly="0" labelOnly="1" fieldPosition="0">
        <references count="1">
          <reference field="1" count="0"/>
        </references>
      </pivotArea>
    </format>
    <format dxfId="96">
      <pivotArea dataOnly="0" labelOnly="1" grandCol="1" outline="0" fieldPosition="0"/>
    </format>
    <format dxfId="95">
      <pivotArea type="all" dataOnly="0" outline="0" fieldPosition="0"/>
    </format>
    <format dxfId="94">
      <pivotArea outline="0" collapsedLevelsAreSubtotals="1" fieldPosition="0"/>
    </format>
    <format dxfId="93">
      <pivotArea type="origin" dataOnly="0" labelOnly="1" outline="0" fieldPosition="0"/>
    </format>
    <format dxfId="92">
      <pivotArea field="1" type="button" dataOnly="0" labelOnly="1" outline="0" axis="axisCol" fieldPosition="0"/>
    </format>
    <format dxfId="91">
      <pivotArea type="topRight" dataOnly="0" labelOnly="1" outline="0" fieldPosition="0"/>
    </format>
    <format dxfId="90">
      <pivotArea field="4" type="button" dataOnly="0" labelOnly="1" outline="0" axis="axisRow" fieldPosition="0"/>
    </format>
    <format dxfId="89">
      <pivotArea dataOnly="0" labelOnly="1" fieldPosition="0">
        <references count="1">
          <reference field="4" count="0"/>
        </references>
      </pivotArea>
    </format>
    <format dxfId="88">
      <pivotArea dataOnly="0" labelOnly="1" grandRow="1" outline="0" fieldPosition="0"/>
    </format>
    <format dxfId="87">
      <pivotArea dataOnly="0" labelOnly="1" fieldPosition="0">
        <references count="1">
          <reference field="1" count="0"/>
        </references>
      </pivotArea>
    </format>
    <format dxfId="86">
      <pivotArea dataOnly="0" labelOnly="1" grandCol="1" outline="0" fieldPosition="0"/>
    </format>
  </format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BF9259-3EBA-41E2-B911-2BDEFCBBD5E7}" name="PivotTable17"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rowHeaderCaption="Years at Company " colHeaderCaption="Attrition rate ">
  <location ref="Z7:AC17" firstHeaderRow="1" firstDataRow="2" firstDataCol="1"/>
  <pivotFields count="35">
    <pivotField showAll="0"/>
    <pivotField axis="axisCol" showAll="0">
      <items count="3">
        <item x="1"/>
        <item x="0"/>
        <item t="default"/>
      </items>
    </pivotField>
    <pivotField showAll="0"/>
    <pivotField showAll="0"/>
    <pivotField showAll="0">
      <items count="4">
        <item x="0"/>
        <item x="2"/>
        <item x="1"/>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s>
  <rowFields count="1">
    <field x="31"/>
  </rowFields>
  <rowItems count="9">
    <i>
      <x v="1"/>
    </i>
    <i>
      <x v="2"/>
    </i>
    <i>
      <x v="3"/>
    </i>
    <i>
      <x v="4"/>
    </i>
    <i>
      <x v="5"/>
    </i>
    <i>
      <x v="6"/>
    </i>
    <i>
      <x v="7"/>
    </i>
    <i>
      <x v="8"/>
    </i>
    <i t="grand">
      <x/>
    </i>
  </rowItems>
  <colFields count="1">
    <field x="1"/>
  </colFields>
  <colItems count="3">
    <i>
      <x/>
    </i>
    <i>
      <x v="1"/>
    </i>
    <i t="grand">
      <x/>
    </i>
  </colItems>
  <dataFields count="1">
    <dataField name="Employee % " fld="9" subtotal="count" showDataAs="percentOfRow" baseField="0" baseItem="0" numFmtId="1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989DBC-EBCF-44AB-87C0-D731B623EE1F}" name="PivotTable16"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9" rowHeaderCaption="JobLevel " colHeaderCaption="Attrition rate ">
  <location ref="U7:X14" firstHeaderRow="1" firstDataRow="2" firstDataCol="1"/>
  <pivotFields count="35">
    <pivotField showAll="0"/>
    <pivotField axis="axisCol" showAll="0">
      <items count="3">
        <item x="1"/>
        <item x="0"/>
        <item t="default"/>
      </items>
    </pivotField>
    <pivotField showAll="0"/>
    <pivotField showAll="0"/>
    <pivotField showAll="0">
      <items count="4">
        <item x="0"/>
        <item x="2"/>
        <item x="1"/>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axis="axisRow" showAll="0">
      <items count="6">
        <item x="1"/>
        <item x="0"/>
        <item x="2"/>
        <item x="3"/>
        <item x="4"/>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Fields count="1">
    <field x="14"/>
  </rowFields>
  <rowItems count="6">
    <i>
      <x/>
    </i>
    <i>
      <x v="1"/>
    </i>
    <i>
      <x v="2"/>
    </i>
    <i>
      <x v="3"/>
    </i>
    <i>
      <x v="4"/>
    </i>
    <i t="grand">
      <x/>
    </i>
  </rowItems>
  <colFields count="1">
    <field x="1"/>
  </colFields>
  <colItems count="3">
    <i>
      <x/>
    </i>
    <i>
      <x v="1"/>
    </i>
    <i t="grand">
      <x/>
    </i>
  </colItems>
  <dataFields count="1">
    <dataField name="Employee % " fld="9" subtotal="count" showDataAs="percentOfRow" baseField="0" baseItem="0" numFmtId="10"/>
  </dataFields>
  <chartFormats count="1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4" format="6">
      <pivotArea type="data" outline="0" fieldPosition="0">
        <references count="3">
          <reference field="4294967294" count="1" selected="0">
            <x v="0"/>
          </reference>
          <reference field="1" count="1" selected="0">
            <x v="0"/>
          </reference>
          <reference field="14" count="1" selected="0">
            <x v="4"/>
          </reference>
        </references>
      </pivotArea>
    </chartFormat>
    <chartFormat chart="4" format="7">
      <pivotArea type="data" outline="0" fieldPosition="0">
        <references count="3">
          <reference field="4294967294" count="1" selected="0">
            <x v="0"/>
          </reference>
          <reference field="1" count="1" selected="0">
            <x v="0"/>
          </reference>
          <reference field="14" count="1" selected="0">
            <x v="3"/>
          </reference>
        </references>
      </pivotArea>
    </chartFormat>
    <chartFormat chart="4" format="8">
      <pivotArea type="data" outline="0" fieldPosition="0">
        <references count="3">
          <reference field="4294967294" count="1" selected="0">
            <x v="0"/>
          </reference>
          <reference field="1" count="1" selected="0">
            <x v="0"/>
          </reference>
          <reference field="14" count="1" selected="0">
            <x v="2"/>
          </reference>
        </references>
      </pivotArea>
    </chartFormat>
    <chartFormat chart="4" format="9">
      <pivotArea type="data" outline="0" fieldPosition="0">
        <references count="3">
          <reference field="4294967294" count="1" selected="0">
            <x v="0"/>
          </reference>
          <reference field="1" count="1" selected="0">
            <x v="0"/>
          </reference>
          <reference field="14" count="1" selected="0">
            <x v="1"/>
          </reference>
        </references>
      </pivotArea>
    </chartFormat>
    <chartFormat chart="4" format="10">
      <pivotArea type="data" outline="0" fieldPosition="0">
        <references count="3">
          <reference field="4294967294" count="1" selected="0">
            <x v="0"/>
          </reference>
          <reference field="1" count="1" selected="0">
            <x v="0"/>
          </reference>
          <reference field="14" count="1" selected="0">
            <x v="0"/>
          </reference>
        </references>
      </pivotArea>
    </chartFormat>
    <chartFormat chart="4" format="11">
      <pivotArea type="data" outline="0" fieldPosition="0">
        <references count="3">
          <reference field="4294967294" count="1" selected="0">
            <x v="0"/>
          </reference>
          <reference field="1" count="1" selected="0">
            <x v="1"/>
          </reference>
          <reference field="14" count="1" selected="0">
            <x v="2"/>
          </reference>
        </references>
      </pivotArea>
    </chartFormat>
    <chartFormat chart="4" format="12">
      <pivotArea type="data" outline="0" fieldPosition="0">
        <references count="3">
          <reference field="4294967294" count="1" selected="0">
            <x v="0"/>
          </reference>
          <reference field="1" count="1" selected="0">
            <x v="1"/>
          </reference>
          <reference field="14" count="1" selected="0">
            <x v="4"/>
          </reference>
        </references>
      </pivotArea>
    </chartFormat>
    <chartFormat chart="4" format="13">
      <pivotArea type="data" outline="0" fieldPosition="0">
        <references count="3">
          <reference field="4294967294" count="1" selected="0">
            <x v="0"/>
          </reference>
          <reference field="1" count="1" selected="0">
            <x v="1"/>
          </reference>
          <reference field="14" count="1" selected="0">
            <x v="3"/>
          </reference>
        </references>
      </pivotArea>
    </chartFormat>
    <chartFormat chart="4" format="14">
      <pivotArea type="data" outline="0" fieldPosition="0">
        <references count="3">
          <reference field="4294967294" count="1" selected="0">
            <x v="0"/>
          </reference>
          <reference field="1" count="1" selected="0">
            <x v="1"/>
          </reference>
          <reference field="14" count="1" selected="0">
            <x v="1"/>
          </reference>
        </references>
      </pivotArea>
    </chartFormat>
    <chartFormat chart="4" format="15">
      <pivotArea type="data" outline="0" fieldPosition="0">
        <references count="3">
          <reference field="4294967294" count="1" selected="0">
            <x v="0"/>
          </reference>
          <reference field="1" count="1" selected="0">
            <x v="1"/>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F2F291-5FE3-42B8-A59E-980CE1EE19A9}" name="PivotTable1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rowHeaderCaption="OverTime " colHeaderCaption="Attrition rate ">
  <location ref="P7:S11" firstHeaderRow="1" firstDataRow="2" firstDataCol="1"/>
  <pivotFields count="35">
    <pivotField showAll="0"/>
    <pivotField axis="axisCol" showAll="0">
      <items count="3">
        <item x="1"/>
        <item x="0"/>
        <item t="default"/>
      </items>
    </pivotField>
    <pivotField showAll="0"/>
    <pivotField showAll="0"/>
    <pivotField showAll="0">
      <items count="4">
        <item x="0"/>
        <item x="2"/>
        <item x="1"/>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Fields count="1">
    <field x="22"/>
  </rowFields>
  <rowItems count="3">
    <i>
      <x/>
    </i>
    <i>
      <x v="1"/>
    </i>
    <i t="grand">
      <x/>
    </i>
  </rowItems>
  <colFields count="1">
    <field x="1"/>
  </colFields>
  <colItems count="3">
    <i>
      <x/>
    </i>
    <i>
      <x v="1"/>
    </i>
    <i t="grand">
      <x/>
    </i>
  </colItems>
  <dataFields count="1">
    <dataField name="Employee % " fld="9" subtotal="count" showDataAs="percentOfRow" baseField="0" baseItem="0" numFmtId="10"/>
  </dataFields>
  <chartFormats count="6">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4" format="6">
      <pivotArea type="data" outline="0" fieldPosition="0">
        <references count="3">
          <reference field="4294967294" count="1" selected="0">
            <x v="0"/>
          </reference>
          <reference field="1" count="1" selected="0">
            <x v="1"/>
          </reference>
          <reference field="22" count="1" selected="0">
            <x v="1"/>
          </reference>
        </references>
      </pivotArea>
    </chartFormat>
    <chartFormat chart="4" format="7">
      <pivotArea type="data" outline="0" fieldPosition="0">
        <references count="3">
          <reference field="4294967294" count="1" selected="0">
            <x v="0"/>
          </reference>
          <reference field="1" count="1" selected="0">
            <x v="1"/>
          </reference>
          <reference field="22" count="1" selected="0">
            <x v="0"/>
          </reference>
        </references>
      </pivotArea>
    </chartFormat>
    <chartFormat chart="4" format="8">
      <pivotArea type="data" outline="0" fieldPosition="0">
        <references count="3">
          <reference field="4294967294" count="1" selected="0">
            <x v="0"/>
          </reference>
          <reference field="1" count="1" selected="0">
            <x v="0"/>
          </reference>
          <reference field="22" count="1" selected="0">
            <x v="1"/>
          </reference>
        </references>
      </pivotArea>
    </chartFormat>
    <chartFormat chart="4" format="9">
      <pivotArea type="data" outline="0" fieldPosition="0">
        <references count="3">
          <reference field="4294967294" count="1" selected="0">
            <x v="0"/>
          </reference>
          <reference field="1" count="1" selected="0">
            <x v="0"/>
          </reference>
          <reference field="2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B12E92-EAAE-4A96-9763-7DE9F25D606D}" name="PivotTable9"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DistanceFromHome " colHeaderCaption="Attrition rate ">
  <location ref="K7:N15" firstHeaderRow="1" firstDataRow="2" firstDataCol="1"/>
  <pivotFields count="35">
    <pivotField showAll="0"/>
    <pivotField axis="axisCol" showAll="0">
      <items count="3">
        <item x="1"/>
        <item x="0"/>
        <item t="default"/>
      </items>
    </pivotField>
    <pivotField showAll="0"/>
    <pivotField showAll="0"/>
    <pivotField showAll="0">
      <items count="4">
        <item x="0"/>
        <item x="2"/>
        <item x="1"/>
        <item t="default"/>
      </items>
    </pivotField>
    <pivotField axis="axisRow" showAll="0">
      <items count="9">
        <item x="0"/>
        <item x="1"/>
        <item x="2"/>
        <item x="3"/>
        <item x="4"/>
        <item x="5"/>
        <item x="6"/>
        <item x="7"/>
        <item t="default"/>
      </items>
    </pivotField>
    <pivotField showAll="0"/>
    <pivotField showAll="0"/>
    <pivotField showAll="0"/>
    <pivotField dataField="1"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Fields count="1">
    <field x="5"/>
  </rowFields>
  <rowItems count="7">
    <i>
      <x v="1"/>
    </i>
    <i>
      <x v="2"/>
    </i>
    <i>
      <x v="3"/>
    </i>
    <i>
      <x v="4"/>
    </i>
    <i>
      <x v="5"/>
    </i>
    <i>
      <x v="6"/>
    </i>
    <i t="grand">
      <x/>
    </i>
  </rowItems>
  <colFields count="1">
    <field x="1"/>
  </colFields>
  <colItems count="3">
    <i>
      <x/>
    </i>
    <i>
      <x v="1"/>
    </i>
    <i t="grand">
      <x/>
    </i>
  </colItems>
  <dataFields count="1">
    <dataField name="Employee % " fld="9" subtotal="count" showDataAs="percentOfRow" baseField="0" baseItem="0" numFmtId="10"/>
  </dataFields>
  <formats count="10">
    <format dxfId="115">
      <pivotArea type="all" dataOnly="0" outline="0" fieldPosition="0"/>
    </format>
    <format dxfId="114">
      <pivotArea outline="0" collapsedLevelsAreSubtotals="1" fieldPosition="0"/>
    </format>
    <format dxfId="113">
      <pivotArea type="origin" dataOnly="0" labelOnly="1" outline="0" fieldPosition="0"/>
    </format>
    <format dxfId="112">
      <pivotArea field="1" type="button" dataOnly="0" labelOnly="1" outline="0" axis="axisCol" fieldPosition="0"/>
    </format>
    <format dxfId="111">
      <pivotArea type="topRight" dataOnly="0" labelOnly="1" outline="0" fieldPosition="0"/>
    </format>
    <format dxfId="110">
      <pivotArea field="5" type="button" dataOnly="0" labelOnly="1" outline="0" axis="axisRow" fieldPosition="0"/>
    </format>
    <format dxfId="109">
      <pivotArea dataOnly="0" labelOnly="1" fieldPosition="0">
        <references count="1">
          <reference field="5" count="6">
            <x v="1"/>
            <x v="2"/>
            <x v="3"/>
            <x v="4"/>
            <x v="5"/>
            <x v="6"/>
          </reference>
        </references>
      </pivotArea>
    </format>
    <format dxfId="108">
      <pivotArea dataOnly="0" labelOnly="1" grandRow="1" outline="0" fieldPosition="0"/>
    </format>
    <format dxfId="107">
      <pivotArea dataOnly="0" labelOnly="1" fieldPosition="0">
        <references count="1">
          <reference field="1" count="0"/>
        </references>
      </pivotArea>
    </format>
    <format dxfId="10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CB93F7-5D64-4FEF-8074-2B4313E01CF1}" name="PivotTable10"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Attrition Status  ">
  <location ref="A7:B10" firstHeaderRow="1" firstDataRow="1" firstDataCol="1"/>
  <pivotFields count="35">
    <pivotField dataField="1" showAll="0"/>
    <pivotField axis="axisRow" showAll="0">
      <items count="3">
        <item x="1"/>
        <item x="0"/>
        <item t="default"/>
      </items>
    </pivotField>
    <pivotField showAll="0"/>
    <pivotField showAll="0"/>
    <pivotField showAll="0">
      <items count="4">
        <item x="0"/>
        <item x="2"/>
        <item x="1"/>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Fields count="1">
    <field x="1"/>
  </rowFields>
  <rowItems count="3">
    <i>
      <x/>
    </i>
    <i>
      <x v="1"/>
    </i>
    <i t="grand">
      <x/>
    </i>
  </rowItems>
  <colItems count="1">
    <i/>
  </colItems>
  <dataFields count="1">
    <dataField name="Average Age " fld="0" subtotal="average" baseField="0" baseItem="0" numFmtId="2"/>
  </dataFields>
  <formats count="6">
    <format dxfId="69">
      <pivotArea type="all" dataOnly="0" outline="0" fieldPosition="0"/>
    </format>
    <format dxfId="68">
      <pivotArea outline="0" collapsedLevelsAreSubtotals="1" fieldPosition="0"/>
    </format>
    <format dxfId="67">
      <pivotArea field="1" type="button" dataOnly="0" labelOnly="1" outline="0" axis="axisRow" fieldPosition="0"/>
    </format>
    <format dxfId="66">
      <pivotArea dataOnly="0" labelOnly="1" fieldPosition="0">
        <references count="1">
          <reference field="1" count="0"/>
        </references>
      </pivotArea>
    </format>
    <format dxfId="65">
      <pivotArea dataOnly="0" labelOnly="1" grandRow="1" outline="0" fieldPosition="0"/>
    </format>
    <format dxfId="6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9DD977-DFCA-431F-A347-32E1EB77C5CF}" name="PivotTable11"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Attrition Status  ">
  <location ref="D7:E10" firstHeaderRow="1" firstDataRow="1" firstDataCol="1"/>
  <pivotFields count="35">
    <pivotField showAll="0"/>
    <pivotField axis="axisRow" showAll="0">
      <items count="3">
        <item x="1"/>
        <item x="0"/>
        <item t="default"/>
      </items>
    </pivotField>
    <pivotField showAll="0"/>
    <pivotField showAll="0"/>
    <pivotField showAll="0">
      <items count="4">
        <item x="0"/>
        <item x="2"/>
        <item x="1"/>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Fields count="1">
    <field x="1"/>
  </rowFields>
  <rowItems count="3">
    <i>
      <x/>
    </i>
    <i>
      <x v="1"/>
    </i>
    <i t="grand">
      <x/>
    </i>
  </rowItems>
  <colItems count="1">
    <i/>
  </colItems>
  <dataFields count="1">
    <dataField name="Average Monthly Income " fld="18" subtotal="average" baseField="0" baseItem="0" numFmtId="1"/>
  </dataFields>
  <formats count="6">
    <format dxfId="75">
      <pivotArea type="all" dataOnly="0" outline="0" fieldPosition="0"/>
    </format>
    <format dxfId="74">
      <pivotArea outline="0" collapsedLevelsAreSubtotals="1" fieldPosition="0"/>
    </format>
    <format dxfId="73">
      <pivotArea field="1" type="button" dataOnly="0" labelOnly="1" outline="0" axis="axisRow" fieldPosition="0"/>
    </format>
    <format dxfId="72">
      <pivotArea dataOnly="0" labelOnly="1" fieldPosition="0">
        <references count="1">
          <reference field="1" count="0"/>
        </references>
      </pivotArea>
    </format>
    <format dxfId="71">
      <pivotArea dataOnly="0" labelOnly="1" grandRow="1" outline="0" fieldPosition="0"/>
    </format>
    <format dxfId="7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9C74DF-C87E-48D3-8379-4B33B02C5699}" name="PivotTable3"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1" rowHeaderCaption="JobRole ">
  <location ref="A3:B13" firstHeaderRow="1" firstDataRow="1" firstDataCol="1"/>
  <pivotFields count="35">
    <pivotField showAll="0"/>
    <pivotField showAll="0"/>
    <pivotField showAll="0"/>
    <pivotField showAll="0"/>
    <pivotField showAll="0">
      <items count="4">
        <item x="0"/>
        <item x="2"/>
        <item x="1"/>
        <item t="default"/>
      </items>
    </pivotField>
    <pivotField showAll="0">
      <items count="9">
        <item x="0"/>
        <item x="1"/>
        <item x="2"/>
        <item x="3"/>
        <item x="4"/>
        <item x="5"/>
        <item x="6"/>
        <item x="7"/>
        <item t="default"/>
      </items>
    </pivotField>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axis="axisRow" showAll="0" sortType="ascending">
      <items count="10">
        <item x="5"/>
        <item x="4"/>
        <item x="8"/>
        <item x="2"/>
        <item x="3"/>
        <item x="7"/>
        <item x="1"/>
        <item x="0"/>
        <item x="6"/>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Fields count="1">
    <field x="15"/>
  </rowFields>
  <rowItems count="10">
    <i>
      <x v="2"/>
    </i>
    <i>
      <x v="4"/>
    </i>
    <i>
      <x v="3"/>
    </i>
    <i>
      <x v="5"/>
    </i>
    <i>
      <x/>
    </i>
    <i>
      <x v="8"/>
    </i>
    <i>
      <x v="7"/>
    </i>
    <i>
      <x v="6"/>
    </i>
    <i>
      <x v="1"/>
    </i>
    <i t="grand">
      <x/>
    </i>
  </rowItems>
  <colItems count="1">
    <i/>
  </colItems>
  <dataFields count="1">
    <dataField name="Average Job Satisfaction" fld="16" subtotal="average" baseField="0" baseItem="0" numFmtId="2"/>
  </dataFields>
  <formats count="6">
    <format dxfId="63">
      <pivotArea type="all" dataOnly="0" outline="0" fieldPosition="0"/>
    </format>
    <format dxfId="62">
      <pivotArea outline="0" collapsedLevelsAreSubtotals="1" fieldPosition="0"/>
    </format>
    <format dxfId="61">
      <pivotArea field="15" type="button" dataOnly="0" labelOnly="1" outline="0" axis="axisRow" fieldPosition="0"/>
    </format>
    <format dxfId="60">
      <pivotArea dataOnly="0" labelOnly="1" fieldPosition="0">
        <references count="1">
          <reference field="15" count="0"/>
        </references>
      </pivotArea>
    </format>
    <format dxfId="59">
      <pivotArea dataOnly="0" labelOnly="1" grandRow="1" outline="0" fieldPosition="0"/>
    </format>
    <format dxfId="58">
      <pivotArea dataOnly="0" labelOnly="1" outline="0" axis="axisValues"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EFE851B-C6D7-420D-BB5D-99522B73B1F4}" name="PivotTable12"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Attrition Status ">
  <location ref="D3:E6" firstHeaderRow="1" firstDataRow="1" firstDataCol="1"/>
  <pivotFields count="35">
    <pivotField showAll="0"/>
    <pivotField axis="axisRow" showAll="0">
      <items count="3">
        <item x="1"/>
        <item x="0"/>
        <item t="default"/>
      </items>
    </pivotField>
    <pivotField showAll="0"/>
    <pivotField showAll="0"/>
    <pivotField showAll="0">
      <items count="4">
        <item x="0"/>
        <item x="2"/>
        <item x="1"/>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dataField="1"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Fields count="1">
    <field x="1"/>
  </rowFields>
  <rowItems count="3">
    <i>
      <x/>
    </i>
    <i>
      <x v="1"/>
    </i>
    <i t="grand">
      <x/>
    </i>
  </rowItems>
  <colItems count="1">
    <i/>
  </colItems>
  <dataFields count="1">
    <dataField name="Average JobSatisfaction" fld="16"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A557431-BF98-4735-B8C5-7889ADE3C301}" name="PivotTable13"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Attrition Status  ">
  <location ref="A7:B10" firstHeaderRow="1" firstDataRow="1" firstDataCol="1"/>
  <pivotFields count="35">
    <pivotField showAll="0"/>
    <pivotField axis="axisRow" showAll="0">
      <items count="3">
        <item x="1"/>
        <item x="0"/>
        <item t="default"/>
      </items>
    </pivotField>
    <pivotField showAll="0"/>
    <pivotField showAll="0"/>
    <pivotField showAll="0">
      <items count="4">
        <item x="0"/>
        <item x="2"/>
        <item x="1"/>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dataField="1" showAll="0"/>
    <pivotField showAll="0"/>
    <pivotField showAll="0"/>
    <pivotField showAll="0"/>
    <pivotField showAll="0"/>
    <pivotField showAll="0"/>
    <pivotField showAll="0"/>
    <pivotField showAll="0">
      <items count="11">
        <item x="0"/>
        <item x="1"/>
        <item x="2"/>
        <item x="3"/>
        <item x="4"/>
        <item x="5"/>
        <item x="6"/>
        <item x="7"/>
        <item x="8"/>
        <item x="9"/>
        <item t="default"/>
      </items>
    </pivotField>
    <pivotField showAll="0"/>
    <pivotField showAll="0"/>
    <pivotField showAll="0"/>
  </pivotFields>
  <rowFields count="1">
    <field x="1"/>
  </rowFields>
  <rowItems count="3">
    <i>
      <x/>
    </i>
    <i>
      <x v="1"/>
    </i>
    <i t="grand">
      <x/>
    </i>
  </rowItems>
  <colItems count="1">
    <i/>
  </colItems>
  <dataFields count="1">
    <dataField name="Average PerformanceRating" fld="24"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7F3B5BC-4F67-4A5C-BB74-F43D63B7988B}" name="PivotTable14" cacheId="0" applyNumberFormats="0" applyBorderFormats="0" applyFontFormats="0" applyPatternFormats="0" applyAlignmentFormats="0" applyWidthHeightFormats="1" dataCaption="Values" updatedVersion="8" minRefreshableVersion="3" useAutoFormatting="1" itemPrintTitles="1" createdVersion="8" indent="0" multipleFieldFilters="0" rowHeaderCaption="Attrition Status ">
  <location ref="D7:E10" firstHeaderRow="1" firstDataRow="1" firstDataCol="1"/>
  <pivotFields count="35">
    <pivotField showAll="0"/>
    <pivotField axis="axisRow" showAll="0">
      <items count="3">
        <item x="1"/>
        <item x="0"/>
        <item t="default"/>
      </items>
    </pivotField>
    <pivotField showAll="0"/>
    <pivotField showAll="0"/>
    <pivotField showAll="0">
      <items count="4">
        <item x="0"/>
        <item x="2"/>
        <item x="1"/>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showAll="0">
      <items count="11">
        <item x="0"/>
        <item x="1"/>
        <item x="2"/>
        <item x="3"/>
        <item x="4"/>
        <item x="5"/>
        <item x="6"/>
        <item x="7"/>
        <item x="8"/>
        <item x="9"/>
        <item t="default"/>
      </items>
    </pivotField>
    <pivotField showAll="0"/>
    <pivotField showAll="0"/>
    <pivotField showAll="0"/>
  </pivotFields>
  <rowFields count="1">
    <field x="1"/>
  </rowFields>
  <rowItems count="3">
    <i>
      <x/>
    </i>
    <i>
      <x v="1"/>
    </i>
    <i t="grand">
      <x/>
    </i>
  </rowItems>
  <colItems count="1">
    <i/>
  </colItems>
  <dataFields count="1">
    <dataField name="Average Work-Life Balance " fld="30"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E5E4C8F-CAA9-4722-8EE6-F564947A0E25}" name="PivotTable18"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rowHeaderCaption="Attrition Status ">
  <location ref="A1:D4" firstHeaderRow="0" firstDataRow="1" firstDataCol="1"/>
  <pivotFields count="35">
    <pivotField showAll="0"/>
    <pivotField axis="axisRow" showAll="0">
      <items count="3">
        <item x="1"/>
        <item x="0"/>
        <item t="default"/>
      </items>
    </pivotField>
    <pivotField showAll="0"/>
    <pivotField showAll="0"/>
    <pivotField showAll="0">
      <items count="4">
        <item x="0"/>
        <item x="2"/>
        <item x="1"/>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items count="6">
        <item x="1"/>
        <item x="0"/>
        <item x="2"/>
        <item x="3"/>
        <item x="4"/>
        <item t="default"/>
      </items>
    </pivotField>
    <pivotField showAll="0"/>
    <pivotField dataField="1"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
  </rowFields>
  <rowItems count="3">
    <i>
      <x/>
    </i>
    <i>
      <x v="1"/>
    </i>
    <i t="grand">
      <x/>
    </i>
  </rowItems>
  <colFields count="1">
    <field x="-2"/>
  </colFields>
  <colItems count="3">
    <i>
      <x/>
    </i>
    <i i="1">
      <x v="1"/>
    </i>
    <i i="2">
      <x v="2"/>
    </i>
  </colItems>
  <dataFields count="3">
    <dataField name="Employee Count" fld="9" subtotal="count" baseField="0" baseItem="0"/>
    <dataField name="Average Job Satisfaction" fld="16" subtotal="average" baseField="0" baseItem="0" numFmtId="2"/>
    <dataField name="Average Employee Tenure " fld="31" subtotal="average" baseField="0" baseItem="0" numFmtId="2"/>
  </dataFields>
  <chartFormats count="9">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1" count="1" selected="0">
            <x v="0"/>
          </reference>
        </references>
      </pivotArea>
    </chartFormat>
    <chartFormat chart="4" format="14">
      <pivotArea type="data" outline="0" fieldPosition="0">
        <references count="2">
          <reference field="4294967294" count="1" selected="0">
            <x v="0"/>
          </reference>
          <reference field="1" count="1" selected="0">
            <x v="1"/>
          </reference>
        </references>
      </pivotArea>
    </chartFormat>
    <chartFormat chart="4" format="15" series="1">
      <pivotArea type="data" outline="0" fieldPosition="0">
        <references count="1">
          <reference field="4294967294" count="1" selected="0">
            <x v="1"/>
          </reference>
        </references>
      </pivotArea>
    </chartFormat>
    <chartFormat chart="4" format="16">
      <pivotArea type="data" outline="0" fieldPosition="0">
        <references count="2">
          <reference field="4294967294" count="1" selected="0">
            <x v="1"/>
          </reference>
          <reference field="1" count="1" selected="0">
            <x v="0"/>
          </reference>
        </references>
      </pivotArea>
    </chartFormat>
    <chartFormat chart="4" format="17">
      <pivotArea type="data" outline="0" fieldPosition="0">
        <references count="2">
          <reference field="4294967294" count="1" selected="0">
            <x v="1"/>
          </reference>
          <reference field="1" count="1" selected="0">
            <x v="1"/>
          </reference>
        </references>
      </pivotArea>
    </chartFormat>
    <chartFormat chart="4" format="18" series="1">
      <pivotArea type="data" outline="0" fieldPosition="0">
        <references count="1">
          <reference field="4294967294" count="1" selected="0">
            <x v="2"/>
          </reference>
        </references>
      </pivotArea>
    </chartFormat>
    <chartFormat chart="4" format="19">
      <pivotArea type="data" outline="0" fieldPosition="0">
        <references count="2">
          <reference field="4294967294" count="1" selected="0">
            <x v="2"/>
          </reference>
          <reference field="1" count="1" selected="0">
            <x v="0"/>
          </reference>
        </references>
      </pivotArea>
    </chartFormat>
    <chartFormat chart="4" format="20">
      <pivotArea type="data" outline="0" fieldPosition="0">
        <references count="2">
          <reference field="4294967294" count="1" selected="0">
            <x v="2"/>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A2DA8EE-8E8C-4DCD-B5AD-1196F1DC5B83}" sourceName="Department">
  <pivotTables>
    <pivotTable tabId="4" name="PivotTable7"/>
    <pivotTable tabId="4" name="PivotTable15"/>
    <pivotTable tabId="4" name="PivotTable16"/>
    <pivotTable tabId="4" name="PivotTable17"/>
    <pivotTable tabId="4" name="PivotTable8"/>
    <pivotTable tabId="4" name="PivotTable9"/>
    <pivotTable tabId="6" name="PivotTable12"/>
    <pivotTable tabId="6" name="PivotTable3"/>
    <pivotTable tabId="11" name="PivotTable18"/>
    <pivotTable tabId="8" name="PivotTable13"/>
    <pivotTable tabId="8" name="PivotTable14"/>
    <pivotTable tabId="5" name="PivotTable10"/>
    <pivotTable tabId="5" name="PivotTable11"/>
  </pivotTables>
  <data>
    <tabular pivotCacheId="296375992">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3D67B21D-2D15-419B-BF43-91FC2FF20103}" sourceName="OverTime">
  <pivotTables>
    <pivotTable tabId="4" name="PivotTable15"/>
    <pivotTable tabId="4" name="PivotTable16"/>
    <pivotTable tabId="4" name="PivotTable17"/>
    <pivotTable tabId="4" name="PivotTable7"/>
    <pivotTable tabId="4" name="PivotTable8"/>
    <pivotTable tabId="4" name="PivotTable9"/>
    <pivotTable tabId="6" name="PivotTable12"/>
    <pivotTable tabId="6" name="PivotTable3"/>
    <pivotTable tabId="11" name="PivotTable18"/>
    <pivotTable tabId="8" name="PivotTable13"/>
    <pivotTable tabId="8" name="PivotTable14"/>
    <pivotTable tabId="5" name="PivotTable10"/>
    <pivotTable tabId="5" name="PivotTable11"/>
  </pivotTables>
  <data>
    <tabular pivotCacheId="29637599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E7799B4-CFEE-4DF9-AD5C-6A4C3E4AD52D}" sourceName="Gender">
  <pivotTables>
    <pivotTable tabId="4" name="PivotTable15"/>
    <pivotTable tabId="4" name="PivotTable16"/>
    <pivotTable tabId="4" name="PivotTable17"/>
    <pivotTable tabId="4" name="PivotTable7"/>
    <pivotTable tabId="4" name="PivotTable8"/>
    <pivotTable tabId="4" name="PivotTable9"/>
    <pivotTable tabId="6" name="PivotTable12"/>
    <pivotTable tabId="6" name="PivotTable3"/>
    <pivotTable tabId="11" name="PivotTable18"/>
    <pivotTable tabId="8" name="PivotTable13"/>
    <pivotTable tabId="8" name="PivotTable14"/>
    <pivotTable tabId="5" name="PivotTable10"/>
    <pivotTable tabId="5" name="PivotTable11"/>
  </pivotTables>
  <data>
    <tabular pivotCacheId="296375992">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 xr10:uid="{62F0EAA8-AD47-4896-886B-1944C4EB7E88}" sourceName="JobLevel">
  <pivotTables>
    <pivotTable tabId="4" name="PivotTable15"/>
    <pivotTable tabId="4" name="PivotTable16"/>
    <pivotTable tabId="4" name="PivotTable17"/>
    <pivotTable tabId="4" name="PivotTable7"/>
    <pivotTable tabId="4" name="PivotTable8"/>
    <pivotTable tabId="4" name="PivotTable9"/>
    <pivotTable tabId="6" name="PivotTable12"/>
    <pivotTable tabId="6" name="PivotTable3"/>
    <pivotTable tabId="11" name="PivotTable18"/>
    <pivotTable tabId="8" name="PivotTable13"/>
    <pivotTable tabId="8" name="PivotTable14"/>
    <pivotTable tabId="5" name="PivotTable10"/>
    <pivotTable tabId="5" name="PivotTable11"/>
  </pivotTables>
  <data>
    <tabular pivotCacheId="296375992">
      <items count="5">
        <i x="1" s="1"/>
        <i x="0"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A898252-151D-4EA8-B32B-D2F30439D5E8}" cache="Slicer_Department" caption="Department" style="SlicerStyleDark1 2" rowHeight="234950"/>
  <slicer name="OverTime" xr10:uid="{5D4C00DC-1843-4F57-8E53-23F85DF4A4B4}" cache="Slicer_OverTime" caption="OverTime" style="SlicerStyleDark1 2" rowHeight="234950"/>
  <slicer name="Gender" xr10:uid="{0C76F8E3-4180-4EE4-98C1-2096BFC195D2}" cache="Slicer_Gender" caption="Gender" style="SlicerStyleDark1 2" rowHeight="234950"/>
  <slicer name="JobLevel" xr10:uid="{3BD4BB5D-16D8-4606-BCE7-0B92ED59D71F}" cache="Slicer_JobLevel" caption="JobLevel" columnCount="2" style="SlicerStyleDark1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HR" displayName="tblHR" ref="A1:AI1471" totalsRowShown="0">
  <tableColumns count="35">
    <tableColumn id="1" xr3:uid="{00000000-0010-0000-0000-000001000000}" name="Age"/>
    <tableColumn id="2" xr3:uid="{00000000-0010-0000-0000-000002000000}" name="Attrition"/>
    <tableColumn id="3" xr3:uid="{00000000-0010-0000-0000-000003000000}" name="BusinessTravel"/>
    <tableColumn id="4" xr3:uid="{00000000-0010-0000-0000-000004000000}" name="DailyRate"/>
    <tableColumn id="5" xr3:uid="{00000000-0010-0000-0000-000005000000}" name="Department"/>
    <tableColumn id="6" xr3:uid="{00000000-0010-0000-0000-000006000000}" name="DistanceFromHome"/>
    <tableColumn id="7" xr3:uid="{00000000-0010-0000-0000-000007000000}" name="Education"/>
    <tableColumn id="8" xr3:uid="{00000000-0010-0000-0000-000008000000}" name="EducationField"/>
    <tableColumn id="9" xr3:uid="{00000000-0010-0000-0000-000009000000}" name="EmployeeCount"/>
    <tableColumn id="10" xr3:uid="{00000000-0010-0000-0000-00000A000000}" name="EmployeeNumber"/>
    <tableColumn id="11" xr3:uid="{00000000-0010-0000-0000-00000B000000}" name="EnvironmentSatisfaction"/>
    <tableColumn id="12" xr3:uid="{00000000-0010-0000-0000-00000C000000}" name="Gender"/>
    <tableColumn id="13" xr3:uid="{00000000-0010-0000-0000-00000D000000}" name="HourlyRate"/>
    <tableColumn id="14" xr3:uid="{00000000-0010-0000-0000-00000E000000}" name="JobInvolvement"/>
    <tableColumn id="15" xr3:uid="{00000000-0010-0000-0000-00000F000000}" name="JobLevel"/>
    <tableColumn id="16" xr3:uid="{00000000-0010-0000-0000-000010000000}" name="JobRole"/>
    <tableColumn id="17" xr3:uid="{00000000-0010-0000-0000-000011000000}" name="JobSatisfaction"/>
    <tableColumn id="18" xr3:uid="{00000000-0010-0000-0000-000012000000}" name="MaritalStatus"/>
    <tableColumn id="19" xr3:uid="{00000000-0010-0000-0000-000013000000}" name="MonthlyIncome"/>
    <tableColumn id="20" xr3:uid="{00000000-0010-0000-0000-000014000000}" name="MonthlyRate"/>
    <tableColumn id="21" xr3:uid="{00000000-0010-0000-0000-000015000000}" name="NumCompaniesWorked"/>
    <tableColumn id="22" xr3:uid="{00000000-0010-0000-0000-000016000000}" name="Over18"/>
    <tableColumn id="23" xr3:uid="{00000000-0010-0000-0000-000017000000}" name="OverTime"/>
    <tableColumn id="24" xr3:uid="{00000000-0010-0000-0000-000018000000}" name="PercentSalaryHike"/>
    <tableColumn id="25" xr3:uid="{00000000-0010-0000-0000-000019000000}" name="PerformanceRating"/>
    <tableColumn id="26" xr3:uid="{00000000-0010-0000-0000-00001A000000}" name="RelationshipSatisfaction"/>
    <tableColumn id="27" xr3:uid="{00000000-0010-0000-0000-00001B000000}" name="StandardHours"/>
    <tableColumn id="28" xr3:uid="{00000000-0010-0000-0000-00001C000000}" name="StockOptionLevel"/>
    <tableColumn id="29" xr3:uid="{00000000-0010-0000-0000-00001D000000}" name="TotalWorkingYears"/>
    <tableColumn id="30" xr3:uid="{00000000-0010-0000-0000-00001E000000}" name="TrainingTimesLastYear"/>
    <tableColumn id="31" xr3:uid="{00000000-0010-0000-0000-00001F000000}" name="WorkLifeBalance"/>
    <tableColumn id="32" xr3:uid="{00000000-0010-0000-0000-000020000000}" name="YearsAtCompany"/>
    <tableColumn id="33" xr3:uid="{00000000-0010-0000-0000-000021000000}" name="YearsInCurrentRole"/>
    <tableColumn id="34" xr3:uid="{00000000-0010-0000-0000-000022000000}" name="YearsSinceLastPromotion"/>
    <tableColumn id="35" xr3:uid="{00000000-0010-0000-0000-000023000000}" name="YearsWithCurrManager"/>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2AF8C-7AEC-4B8A-B81E-8E9DB40FA063}">
  <dimension ref="A1"/>
  <sheetViews>
    <sheetView showGridLines="0" tabSelected="1" zoomScale="90" zoomScaleNormal="90" workbookViewId="0">
      <selection activeCell="I39" sqref="I39"/>
    </sheetView>
  </sheetViews>
  <sheetFormatPr defaultRowHeight="13.8"/>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B6573"/>
  </sheetPr>
  <dimension ref="A1:AI1471"/>
  <sheetViews>
    <sheetView workbookViewId="0">
      <pane ySplit="1" topLeftCell="A2" activePane="bottomLeft" state="frozen"/>
      <selection pane="bottomLeft" activeCell="C13" sqref="A2:AI1471"/>
    </sheetView>
  </sheetViews>
  <sheetFormatPr defaultRowHeight="13.8"/>
  <cols>
    <col min="1" max="1" width="4.3984375" bestFit="1" customWidth="1"/>
    <col min="2" max="2" width="7.8984375" bestFit="1" customWidth="1"/>
    <col min="3" max="3" width="15.59765625" bestFit="1" customWidth="1"/>
    <col min="4" max="4" width="9.296875" bestFit="1" customWidth="1"/>
    <col min="5" max="5" width="21.59765625" bestFit="1" customWidth="1"/>
    <col min="6" max="6" width="18.5" bestFit="1" customWidth="1"/>
    <col min="7" max="7" width="9.59765625" bestFit="1" customWidth="1"/>
    <col min="8" max="8" width="15.796875" bestFit="1" customWidth="1"/>
    <col min="9" max="9" width="15.09765625" bestFit="1" customWidth="1"/>
    <col min="10" max="10" width="16.8984375" bestFit="1" customWidth="1"/>
    <col min="11" max="11" width="22.69921875" bestFit="1" customWidth="1"/>
    <col min="12" max="12" width="7.3984375" bestFit="1" customWidth="1"/>
    <col min="13" max="13" width="10.69921875" bestFit="1" customWidth="1"/>
    <col min="14" max="14" width="15.19921875" bestFit="1" customWidth="1"/>
    <col min="15" max="15" width="9" bestFit="1" customWidth="1"/>
    <col min="16" max="16" width="22.5" bestFit="1" customWidth="1"/>
    <col min="17" max="17" width="14.3984375" bestFit="1" customWidth="1"/>
    <col min="18" max="18" width="12.19921875" bestFit="1" customWidth="1"/>
    <col min="19" max="19" width="14.5" bestFit="1" customWidth="1"/>
    <col min="20" max="20" width="11.8984375" bestFit="1" customWidth="1"/>
    <col min="21" max="21" width="21.8984375" bestFit="1" customWidth="1"/>
    <col min="22" max="22" width="7.19921875" bestFit="1" customWidth="1"/>
    <col min="23" max="23" width="9.59765625" bestFit="1" customWidth="1"/>
    <col min="24" max="24" width="17.296875" bestFit="1" customWidth="1"/>
    <col min="25" max="25" width="18" bestFit="1" customWidth="1"/>
    <col min="26" max="26" width="22.296875" bestFit="1" customWidth="1"/>
    <col min="27" max="27" width="14" bestFit="1" customWidth="1"/>
    <col min="28" max="28" width="16.59765625" bestFit="1" customWidth="1"/>
    <col min="29" max="29" width="17.69921875" bestFit="1" customWidth="1"/>
    <col min="30" max="30" width="21.5" bestFit="1" customWidth="1"/>
    <col min="31" max="31" width="15.796875" bestFit="1" customWidth="1"/>
    <col min="32" max="32" width="16.3984375" bestFit="1" customWidth="1"/>
    <col min="33" max="33" width="18.3984375" bestFit="1" customWidth="1"/>
    <col min="34" max="34" width="24" bestFit="1" customWidth="1"/>
    <col min="35" max="35" width="21.5" bestFit="1" customWidth="1"/>
  </cols>
  <sheetData>
    <row r="1" spans="1: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A1:C20"/>
  <sheetViews>
    <sheetView showGridLines="0" workbookViewId="0">
      <pane ySplit="10" topLeftCell="A15" activePane="bottomLeft" state="frozen"/>
      <selection pane="bottomLeft" activeCell="F19" sqref="F19"/>
    </sheetView>
  </sheetViews>
  <sheetFormatPr defaultRowHeight="13.8"/>
  <cols>
    <col min="1" max="1" width="26" customWidth="1"/>
    <col min="2" max="2" width="82" customWidth="1"/>
    <col min="3" max="3" width="16" customWidth="1"/>
  </cols>
  <sheetData>
    <row r="1" spans="1:3" ht="38.4" customHeight="1">
      <c r="A1" s="2" t="s">
        <v>62</v>
      </c>
      <c r="B1" s="2"/>
      <c r="C1" s="2"/>
    </row>
    <row r="2" spans="1:3" ht="69.599999999999994" customHeight="1">
      <c r="A2" s="1" t="s">
        <v>63</v>
      </c>
      <c r="B2" s="1"/>
      <c r="C2" s="1"/>
    </row>
    <row r="3" spans="1:3" ht="15" customHeight="1">
      <c r="A3" s="3"/>
      <c r="B3" s="3"/>
      <c r="C3" s="3"/>
    </row>
    <row r="4" spans="1:3" ht="26.4" customHeight="1">
      <c r="A4" s="4" t="s">
        <v>64</v>
      </c>
      <c r="B4" s="5" t="s">
        <v>65</v>
      </c>
      <c r="C4" s="3"/>
    </row>
    <row r="5" spans="1:3" ht="15" customHeight="1">
      <c r="A5" s="6" t="s">
        <v>66</v>
      </c>
      <c r="B5" s="3" t="s">
        <v>67</v>
      </c>
      <c r="C5" s="3"/>
    </row>
    <row r="6" spans="1:3" ht="15" customHeight="1">
      <c r="A6" s="6" t="s">
        <v>68</v>
      </c>
      <c r="B6" s="3" t="s">
        <v>69</v>
      </c>
      <c r="C6" s="3"/>
    </row>
    <row r="7" spans="1:3" ht="15" customHeight="1">
      <c r="A7" s="6" t="s">
        <v>70</v>
      </c>
      <c r="B7" s="3" t="s">
        <v>71</v>
      </c>
      <c r="C7" s="3"/>
    </row>
    <row r="8" spans="1:3" ht="15" customHeight="1">
      <c r="A8" s="6" t="s">
        <v>72</v>
      </c>
      <c r="B8" s="3" t="s">
        <v>73</v>
      </c>
      <c r="C8" s="3"/>
    </row>
    <row r="9" spans="1:3" ht="15" customHeight="1">
      <c r="A9" s="3"/>
      <c r="B9" s="3"/>
      <c r="C9" s="3"/>
    </row>
    <row r="10" spans="1:3" ht="15" customHeight="1">
      <c r="A10" s="7" t="s">
        <v>74</v>
      </c>
      <c r="B10" s="7" t="s">
        <v>75</v>
      </c>
      <c r="C10" s="7" t="s">
        <v>76</v>
      </c>
    </row>
    <row r="11" spans="1:3" ht="15" customHeight="1">
      <c r="A11" s="3" t="s">
        <v>77</v>
      </c>
      <c r="B11" s="3" t="s">
        <v>78</v>
      </c>
      <c r="C11" s="3" t="s">
        <v>79</v>
      </c>
    </row>
    <row r="12" spans="1:3" ht="15" customHeight="1">
      <c r="A12" s="3" t="s">
        <v>80</v>
      </c>
      <c r="B12" s="3" t="s">
        <v>81</v>
      </c>
      <c r="C12" s="3" t="s">
        <v>79</v>
      </c>
    </row>
    <row r="13" spans="1:3" ht="15" customHeight="1">
      <c r="A13" s="3" t="s">
        <v>82</v>
      </c>
      <c r="B13" s="3" t="s">
        <v>83</v>
      </c>
      <c r="C13" s="3" t="s">
        <v>79</v>
      </c>
    </row>
    <row r="14" spans="1:3" ht="15" customHeight="1">
      <c r="A14" s="3" t="s">
        <v>84</v>
      </c>
      <c r="B14" s="3" t="s">
        <v>178</v>
      </c>
      <c r="C14" s="3" t="s">
        <v>179</v>
      </c>
    </row>
    <row r="15" spans="1:3" ht="15" customHeight="1">
      <c r="A15" s="3" t="s">
        <v>85</v>
      </c>
      <c r="B15" s="3" t="s">
        <v>180</v>
      </c>
      <c r="C15" s="3" t="s">
        <v>179</v>
      </c>
    </row>
    <row r="16" spans="1:3" ht="15" customHeight="1">
      <c r="A16" s="3" t="s">
        <v>86</v>
      </c>
      <c r="B16" s="3" t="s">
        <v>181</v>
      </c>
      <c r="C16" s="3" t="s">
        <v>179</v>
      </c>
    </row>
    <row r="17" spans="1:3" ht="15" customHeight="1">
      <c r="A17" s="3" t="s">
        <v>87</v>
      </c>
      <c r="B17" s="3" t="s">
        <v>182</v>
      </c>
      <c r="C17" s="3" t="s">
        <v>179</v>
      </c>
    </row>
    <row r="18" spans="1:3" ht="15" customHeight="1">
      <c r="A18" s="3" t="s">
        <v>88</v>
      </c>
      <c r="B18" s="3" t="s">
        <v>183</v>
      </c>
      <c r="C18" s="3" t="s">
        <v>184</v>
      </c>
    </row>
    <row r="19" spans="1:3" ht="15" customHeight="1">
      <c r="A19" s="3" t="s">
        <v>89</v>
      </c>
      <c r="B19" s="3" t="s">
        <v>185</v>
      </c>
      <c r="C19" s="3" t="s">
        <v>184</v>
      </c>
    </row>
    <row r="20" spans="1:3">
      <c r="A20" s="3" t="s">
        <v>90</v>
      </c>
      <c r="B20" t="s">
        <v>186</v>
      </c>
      <c r="C20" t="s">
        <v>184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855A"/>
  </sheetPr>
  <dimension ref="A1:C24"/>
  <sheetViews>
    <sheetView showGridLines="0" workbookViewId="0">
      <pane ySplit="4" topLeftCell="A5" activePane="bottomLeft" state="frozen"/>
      <selection pane="bottomLeft" activeCell="F13" sqref="F13"/>
    </sheetView>
  </sheetViews>
  <sheetFormatPr defaultRowHeight="13.8"/>
  <cols>
    <col min="1" max="1" width="34" customWidth="1"/>
    <col min="2" max="2" width="44" customWidth="1"/>
    <col min="3" max="3" width="78" customWidth="1"/>
  </cols>
  <sheetData>
    <row r="1" spans="1:3" ht="19.2" customHeight="1">
      <c r="A1" s="2" t="s">
        <v>91</v>
      </c>
      <c r="B1" s="2"/>
      <c r="C1" s="2"/>
    </row>
    <row r="2" spans="1:3" ht="24" customHeight="1">
      <c r="A2" s="1" t="s">
        <v>92</v>
      </c>
      <c r="B2" s="1"/>
      <c r="C2" s="1"/>
    </row>
    <row r="3" spans="1:3" ht="15" customHeight="1">
      <c r="A3" s="3"/>
      <c r="B3" s="3"/>
      <c r="C3" s="3"/>
    </row>
    <row r="4" spans="1:3" ht="15" customHeight="1">
      <c r="A4" s="7" t="s">
        <v>93</v>
      </c>
      <c r="B4" s="7" t="s">
        <v>94</v>
      </c>
      <c r="C4" s="7" t="s">
        <v>95</v>
      </c>
    </row>
    <row r="5" spans="1:3" ht="15" customHeight="1">
      <c r="A5" s="3" t="s">
        <v>96</v>
      </c>
      <c r="B5" s="3">
        <v>1470</v>
      </c>
      <c r="C5" s="3" t="s">
        <v>97</v>
      </c>
    </row>
    <row r="6" spans="1:3" ht="15" customHeight="1">
      <c r="A6" s="3" t="s">
        <v>98</v>
      </c>
      <c r="B6" s="3">
        <v>35</v>
      </c>
      <c r="C6" s="3" t="s">
        <v>99</v>
      </c>
    </row>
    <row r="7" spans="1:3" ht="15" customHeight="1">
      <c r="A7" s="3" t="s">
        <v>100</v>
      </c>
      <c r="B7" s="3">
        <v>0</v>
      </c>
      <c r="C7" s="3" t="s">
        <v>101</v>
      </c>
    </row>
    <row r="8" spans="1:3" ht="15" customHeight="1">
      <c r="A8" s="3" t="s">
        <v>102</v>
      </c>
      <c r="B8" s="3">
        <v>0</v>
      </c>
      <c r="C8" s="3" t="s">
        <v>103</v>
      </c>
    </row>
    <row r="9" spans="1:3" ht="15" customHeight="1">
      <c r="A9" s="3" t="s">
        <v>104</v>
      </c>
      <c r="B9" s="3">
        <v>0</v>
      </c>
      <c r="C9" s="3" t="s">
        <v>105</v>
      </c>
    </row>
    <row r="10" spans="1:3" ht="15" customHeight="1">
      <c r="A10" s="3" t="s">
        <v>106</v>
      </c>
      <c r="B10" s="3">
        <v>0</v>
      </c>
      <c r="C10" s="3" t="s">
        <v>107</v>
      </c>
    </row>
    <row r="11" spans="1:3" ht="15" customHeight="1">
      <c r="A11" s="3" t="s">
        <v>108</v>
      </c>
      <c r="B11" s="3">
        <v>0</v>
      </c>
      <c r="C11" s="3" t="s">
        <v>109</v>
      </c>
    </row>
    <row r="12" spans="1:3" ht="15" customHeight="1">
      <c r="A12" s="3" t="s">
        <v>110</v>
      </c>
      <c r="B12" s="3" t="s">
        <v>111</v>
      </c>
      <c r="C12" s="3" t="s">
        <v>112</v>
      </c>
    </row>
    <row r="13" spans="1:3" ht="15" customHeight="1">
      <c r="A13" s="3" t="s">
        <v>113</v>
      </c>
      <c r="B13" s="3" t="s">
        <v>114</v>
      </c>
      <c r="C13" s="3" t="s">
        <v>115</v>
      </c>
    </row>
    <row r="14" spans="1:3" ht="15" customHeight="1">
      <c r="A14" s="3" t="s">
        <v>116</v>
      </c>
      <c r="B14" t="s">
        <v>187</v>
      </c>
      <c r="C14" s="3" t="s">
        <v>117</v>
      </c>
    </row>
    <row r="15" spans="1:3" ht="15" customHeight="1">
      <c r="A15" s="3"/>
      <c r="B15" s="3"/>
      <c r="C15" s="3"/>
    </row>
    <row r="16" spans="1:3" ht="15" customHeight="1">
      <c r="A16" s="7" t="s">
        <v>118</v>
      </c>
      <c r="B16" s="7" t="s">
        <v>119</v>
      </c>
      <c r="C16" s="7" t="s">
        <v>120</v>
      </c>
    </row>
    <row r="17" spans="1:3" ht="15" customHeight="1">
      <c r="A17" s="3" t="s">
        <v>8</v>
      </c>
      <c r="B17" s="3">
        <v>1</v>
      </c>
      <c r="C17" s="3" t="s">
        <v>121</v>
      </c>
    </row>
    <row r="18" spans="1:3" ht="15" customHeight="1">
      <c r="A18" s="3" t="s">
        <v>21</v>
      </c>
      <c r="B18" s="3" t="s">
        <v>42</v>
      </c>
      <c r="C18" s="3" t="s">
        <v>121</v>
      </c>
    </row>
    <row r="19" spans="1:3" ht="15" customHeight="1">
      <c r="A19" s="3" t="s">
        <v>26</v>
      </c>
      <c r="B19" s="3">
        <v>80</v>
      </c>
      <c r="C19" s="3" t="s">
        <v>121</v>
      </c>
    </row>
    <row r="20" spans="1:3" ht="15" customHeight="1">
      <c r="A20" s="3"/>
      <c r="B20" s="3"/>
      <c r="C20" s="3"/>
    </row>
    <row r="21" spans="1:3" ht="15" customHeight="1">
      <c r="A21" s="7" t="s">
        <v>122</v>
      </c>
      <c r="B21" s="7" t="s">
        <v>123</v>
      </c>
      <c r="C21" s="7" t="s">
        <v>124</v>
      </c>
    </row>
    <row r="22" spans="1:3" ht="15" customHeight="1">
      <c r="A22" s="3" t="s">
        <v>125</v>
      </c>
      <c r="B22" s="3" t="s">
        <v>126</v>
      </c>
      <c r="C22" s="3" t="s">
        <v>127</v>
      </c>
    </row>
    <row r="23" spans="1:3" ht="26.4" customHeight="1">
      <c r="A23" s="3" t="s">
        <v>128</v>
      </c>
      <c r="B23" s="3" t="s">
        <v>129</v>
      </c>
      <c r="C23" s="3" t="s">
        <v>130</v>
      </c>
    </row>
    <row r="24" spans="1:3" ht="15" customHeight="1">
      <c r="A24" s="3" t="s">
        <v>131</v>
      </c>
      <c r="B24" s="3" t="s">
        <v>132</v>
      </c>
      <c r="C24" s="3" t="s">
        <v>133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E3D18-BE09-48DA-9C95-A2BA1E550A3E}">
  <dimension ref="A2:AC17"/>
  <sheetViews>
    <sheetView showGridLines="0" topLeftCell="I1" workbookViewId="0">
      <selection activeCell="Z7" sqref="Z7:AC17"/>
    </sheetView>
  </sheetViews>
  <sheetFormatPr defaultRowHeight="13.8"/>
  <cols>
    <col min="1" max="1" width="21.59765625" bestFit="1" customWidth="1"/>
    <col min="2" max="2" width="14.296875" bestFit="1" customWidth="1"/>
    <col min="3" max="3" width="7.09765625" bestFit="1" customWidth="1"/>
    <col min="4" max="4" width="11" bestFit="1" customWidth="1"/>
    <col min="5" max="5" width="2.19921875" customWidth="1"/>
    <col min="6" max="6" width="12.5" bestFit="1" customWidth="1"/>
    <col min="7" max="7" width="14.296875" bestFit="1" customWidth="1"/>
    <col min="8" max="8" width="7.09765625" bestFit="1" customWidth="1"/>
    <col min="9" max="9" width="11" bestFit="1" customWidth="1"/>
    <col min="10" max="10" width="1.8984375" customWidth="1"/>
    <col min="11" max="11" width="21" bestFit="1" customWidth="1"/>
    <col min="12" max="12" width="14.296875" bestFit="1" customWidth="1"/>
    <col min="13" max="13" width="7.09765625" bestFit="1" customWidth="1"/>
    <col min="14" max="14" width="11" bestFit="1" customWidth="1"/>
    <col min="15" max="15" width="3.8984375" customWidth="1"/>
    <col min="16" max="16" width="12.5" bestFit="1" customWidth="1"/>
    <col min="17" max="17" width="14.296875" bestFit="1" customWidth="1"/>
    <col min="18" max="18" width="7.09765625" bestFit="1" customWidth="1"/>
    <col min="19" max="19" width="11" bestFit="1" customWidth="1"/>
    <col min="20" max="20" width="4.09765625" customWidth="1"/>
    <col min="21" max="21" width="12.5" bestFit="1" customWidth="1"/>
    <col min="22" max="22" width="14.296875" bestFit="1" customWidth="1"/>
    <col min="23" max="23" width="7.09765625" bestFit="1" customWidth="1"/>
    <col min="24" max="24" width="11" bestFit="1" customWidth="1"/>
    <col min="25" max="25" width="4.5" customWidth="1"/>
    <col min="26" max="26" width="19.69921875" bestFit="1" customWidth="1"/>
    <col min="27" max="27" width="14.296875" bestFit="1" customWidth="1"/>
    <col min="28" max="28" width="7.09765625" bestFit="1" customWidth="1"/>
    <col min="29" max="29" width="11" bestFit="1" customWidth="1"/>
  </cols>
  <sheetData>
    <row r="2" spans="1:29">
      <c r="A2" s="16" t="s">
        <v>157</v>
      </c>
      <c r="F2" s="16" t="s">
        <v>149</v>
      </c>
      <c r="K2" s="16" t="s">
        <v>152</v>
      </c>
      <c r="P2" s="16" t="s">
        <v>165</v>
      </c>
      <c r="U2" s="16" t="s">
        <v>167</v>
      </c>
      <c r="Z2" s="16" t="s">
        <v>176</v>
      </c>
    </row>
    <row r="7" spans="1:29">
      <c r="A7" s="13" t="s">
        <v>150</v>
      </c>
      <c r="B7" s="13" t="s">
        <v>151</v>
      </c>
      <c r="C7" s="10"/>
      <c r="D7" s="10"/>
      <c r="F7" s="13" t="s">
        <v>150</v>
      </c>
      <c r="G7" s="13" t="s">
        <v>151</v>
      </c>
      <c r="H7" s="10"/>
      <c r="I7" s="10"/>
      <c r="K7" s="13" t="s">
        <v>150</v>
      </c>
      <c r="L7" s="13" t="s">
        <v>151</v>
      </c>
      <c r="M7" s="10"/>
      <c r="N7" s="10"/>
      <c r="P7" s="8" t="s">
        <v>150</v>
      </c>
      <c r="Q7" s="8" t="s">
        <v>151</v>
      </c>
      <c r="U7" s="8" t="s">
        <v>150</v>
      </c>
      <c r="V7" s="8" t="s">
        <v>151</v>
      </c>
      <c r="Z7" s="8" t="s">
        <v>150</v>
      </c>
      <c r="AA7" s="8" t="s">
        <v>151</v>
      </c>
    </row>
    <row r="8" spans="1:29">
      <c r="A8" s="13" t="s">
        <v>135</v>
      </c>
      <c r="B8" s="10" t="s">
        <v>43</v>
      </c>
      <c r="C8" s="10" t="s">
        <v>35</v>
      </c>
      <c r="D8" s="10" t="s">
        <v>134</v>
      </c>
      <c r="F8" s="13" t="s">
        <v>140</v>
      </c>
      <c r="G8" s="10" t="s">
        <v>43</v>
      </c>
      <c r="H8" s="10" t="s">
        <v>35</v>
      </c>
      <c r="I8" s="10" t="s">
        <v>134</v>
      </c>
      <c r="K8" s="13" t="s">
        <v>142</v>
      </c>
      <c r="L8" s="10" t="s">
        <v>43</v>
      </c>
      <c r="M8" s="10" t="s">
        <v>35</v>
      </c>
      <c r="N8" s="10" t="s">
        <v>134</v>
      </c>
      <c r="P8" s="8" t="s">
        <v>164</v>
      </c>
      <c r="Q8" t="s">
        <v>43</v>
      </c>
      <c r="R8" t="s">
        <v>35</v>
      </c>
      <c r="S8" t="s">
        <v>134</v>
      </c>
      <c r="U8" s="8" t="s">
        <v>166</v>
      </c>
      <c r="V8" t="s">
        <v>43</v>
      </c>
      <c r="W8" t="s">
        <v>35</v>
      </c>
      <c r="X8" t="s">
        <v>134</v>
      </c>
      <c r="Z8" s="8" t="s">
        <v>177</v>
      </c>
      <c r="AA8" t="s">
        <v>43</v>
      </c>
      <c r="AB8" t="s">
        <v>35</v>
      </c>
      <c r="AC8" t="s">
        <v>134</v>
      </c>
    </row>
    <row r="9" spans="1:29">
      <c r="A9" s="14" t="s">
        <v>37</v>
      </c>
      <c r="B9" s="15">
        <v>0.79372197309417036</v>
      </c>
      <c r="C9" s="15">
        <v>0.20627802690582961</v>
      </c>
      <c r="D9" s="15">
        <v>1</v>
      </c>
      <c r="F9" s="14" t="s">
        <v>39</v>
      </c>
      <c r="G9" s="15">
        <v>0.85204081632653061</v>
      </c>
      <c r="H9" s="15">
        <v>0.14795918367346939</v>
      </c>
      <c r="I9" s="15">
        <v>1</v>
      </c>
      <c r="K9" s="14" t="s">
        <v>143</v>
      </c>
      <c r="L9" s="15">
        <v>0.86234177215189878</v>
      </c>
      <c r="M9" s="15">
        <v>0.13765822784810128</v>
      </c>
      <c r="N9" s="15">
        <v>1</v>
      </c>
      <c r="P9" s="9" t="s">
        <v>43</v>
      </c>
      <c r="Q9" s="12">
        <v>0.89563567362428842</v>
      </c>
      <c r="R9" s="12">
        <v>0.10436432637571158</v>
      </c>
      <c r="S9" s="12">
        <v>1</v>
      </c>
      <c r="U9" s="9">
        <v>1</v>
      </c>
      <c r="V9" s="12">
        <v>0.73664825046040516</v>
      </c>
      <c r="W9" s="12">
        <v>0.26335174953959484</v>
      </c>
      <c r="X9" s="12">
        <v>1</v>
      </c>
      <c r="Z9" s="9" t="s">
        <v>168</v>
      </c>
      <c r="AA9" s="12">
        <v>0.75689655172413794</v>
      </c>
      <c r="AB9" s="12">
        <v>0.24310344827586206</v>
      </c>
      <c r="AC9" s="12">
        <v>1</v>
      </c>
    </row>
    <row r="10" spans="1:29">
      <c r="A10" s="14" t="s">
        <v>61</v>
      </c>
      <c r="B10" s="15">
        <v>0.80952380952380953</v>
      </c>
      <c r="C10" s="15">
        <v>0.19047619047619047</v>
      </c>
      <c r="D10" s="15">
        <v>1</v>
      </c>
      <c r="F10" s="14" t="s">
        <v>46</v>
      </c>
      <c r="G10" s="15">
        <v>0.82993197278911568</v>
      </c>
      <c r="H10" s="15">
        <v>0.17006802721088435</v>
      </c>
      <c r="I10" s="15">
        <v>1</v>
      </c>
      <c r="K10" s="14" t="s">
        <v>144</v>
      </c>
      <c r="L10" s="15">
        <v>0.85532994923857864</v>
      </c>
      <c r="M10" s="15">
        <v>0.14467005076142131</v>
      </c>
      <c r="N10" s="15">
        <v>1</v>
      </c>
      <c r="P10" s="9" t="s">
        <v>35</v>
      </c>
      <c r="Q10" s="12">
        <v>0.69471153846153844</v>
      </c>
      <c r="R10" s="12">
        <v>0.30528846153846156</v>
      </c>
      <c r="S10" s="12">
        <v>1</v>
      </c>
      <c r="U10" s="9">
        <v>2</v>
      </c>
      <c r="V10" s="12">
        <v>0.90262172284644193</v>
      </c>
      <c r="W10" s="12">
        <v>9.7378277153558054E-2</v>
      </c>
      <c r="X10" s="12">
        <v>1</v>
      </c>
      <c r="Z10" s="9" t="s">
        <v>169</v>
      </c>
      <c r="AA10" s="12">
        <v>0.88931297709923662</v>
      </c>
      <c r="AB10" s="12">
        <v>0.11068702290076336</v>
      </c>
      <c r="AC10" s="12">
        <v>1</v>
      </c>
    </row>
    <row r="11" spans="1:29">
      <c r="A11" s="14" t="s">
        <v>45</v>
      </c>
      <c r="B11" s="15">
        <v>0.86160249739854322</v>
      </c>
      <c r="C11" s="15">
        <v>0.13839750260145681</v>
      </c>
      <c r="D11" s="15">
        <v>1</v>
      </c>
      <c r="F11" s="14" t="s">
        <v>134</v>
      </c>
      <c r="G11" s="15">
        <v>0.83877551020408159</v>
      </c>
      <c r="H11" s="15">
        <v>0.16122448979591836</v>
      </c>
      <c r="I11" s="15">
        <v>1</v>
      </c>
      <c r="K11" s="14" t="s">
        <v>145</v>
      </c>
      <c r="L11" s="15">
        <v>0.78260869565217395</v>
      </c>
      <c r="M11" s="15">
        <v>0.21739130434782608</v>
      </c>
      <c r="N11" s="15">
        <v>1</v>
      </c>
      <c r="P11" s="9" t="s">
        <v>134</v>
      </c>
      <c r="Q11" s="12">
        <v>0.83877551020408159</v>
      </c>
      <c r="R11" s="12">
        <v>0.16122448979591836</v>
      </c>
      <c r="S11" s="12">
        <v>1</v>
      </c>
      <c r="U11" s="9">
        <v>3</v>
      </c>
      <c r="V11" s="12">
        <v>0.85321100917431192</v>
      </c>
      <c r="W11" s="12">
        <v>0.14678899082568808</v>
      </c>
      <c r="X11" s="12">
        <v>1</v>
      </c>
      <c r="Z11" s="9" t="s">
        <v>170</v>
      </c>
      <c r="AA11" s="12">
        <v>0.88461538461538458</v>
      </c>
      <c r="AB11" s="12">
        <v>0.11538461538461539</v>
      </c>
      <c r="AC11" s="12">
        <v>1</v>
      </c>
    </row>
    <row r="12" spans="1:29">
      <c r="A12" s="14" t="s">
        <v>134</v>
      </c>
      <c r="B12" s="15">
        <v>0.83877551020408159</v>
      </c>
      <c r="C12" s="15">
        <v>0.16122448979591836</v>
      </c>
      <c r="D12" s="15">
        <v>1</v>
      </c>
      <c r="K12" s="14" t="s">
        <v>146</v>
      </c>
      <c r="L12" s="15">
        <v>0.81599999999999995</v>
      </c>
      <c r="M12" s="15">
        <v>0.184</v>
      </c>
      <c r="N12" s="15">
        <v>1</v>
      </c>
      <c r="U12" s="9">
        <v>4</v>
      </c>
      <c r="V12" s="12">
        <v>0.95283018867924529</v>
      </c>
      <c r="W12" s="12">
        <v>4.716981132075472E-2</v>
      </c>
      <c r="X12" s="12">
        <v>1</v>
      </c>
      <c r="Z12" s="9" t="s">
        <v>171</v>
      </c>
      <c r="AA12" s="12">
        <v>0.92307692307692313</v>
      </c>
      <c r="AB12" s="12">
        <v>7.6923076923076927E-2</v>
      </c>
      <c r="AC12" s="12">
        <v>1</v>
      </c>
    </row>
    <row r="13" spans="1:29">
      <c r="K13" s="14" t="s">
        <v>147</v>
      </c>
      <c r="L13" s="15">
        <v>0.72649572649572647</v>
      </c>
      <c r="M13" s="15">
        <v>0.27350427350427353</v>
      </c>
      <c r="N13" s="15">
        <v>1</v>
      </c>
      <c r="U13" s="9">
        <v>5</v>
      </c>
      <c r="V13" s="12">
        <v>0.92753623188405798</v>
      </c>
      <c r="W13" s="12">
        <v>7.2463768115942032E-2</v>
      </c>
      <c r="X13" s="12">
        <v>1</v>
      </c>
      <c r="Z13" s="9" t="s">
        <v>172</v>
      </c>
      <c r="AA13" s="12">
        <v>0.921875</v>
      </c>
      <c r="AB13" s="12">
        <v>7.8125E-2</v>
      </c>
      <c r="AC13" s="12">
        <v>1</v>
      </c>
    </row>
    <row r="14" spans="1:29">
      <c r="K14" s="14" t="s">
        <v>148</v>
      </c>
      <c r="L14" s="15">
        <v>0.85057471264367812</v>
      </c>
      <c r="M14" s="15">
        <v>0.14942528735632185</v>
      </c>
      <c r="N14" s="15">
        <v>1</v>
      </c>
      <c r="U14" s="9" t="s">
        <v>134</v>
      </c>
      <c r="V14" s="12">
        <v>0.83877551020408159</v>
      </c>
      <c r="W14" s="12">
        <v>0.16122448979591836</v>
      </c>
      <c r="X14" s="12">
        <v>1</v>
      </c>
      <c r="Z14" s="9" t="s">
        <v>173</v>
      </c>
      <c r="AA14" s="12">
        <v>1</v>
      </c>
      <c r="AB14" s="12">
        <v>0</v>
      </c>
      <c r="AC14" s="12">
        <v>1</v>
      </c>
    </row>
    <row r="15" spans="1:29">
      <c r="K15" s="14" t="s">
        <v>134</v>
      </c>
      <c r="L15" s="15">
        <v>0.83877551020408159</v>
      </c>
      <c r="M15" s="15">
        <v>0.16122448979591836</v>
      </c>
      <c r="N15" s="15">
        <v>1</v>
      </c>
      <c r="Z15" s="9" t="s">
        <v>174</v>
      </c>
      <c r="AA15" s="12">
        <v>0.76923076923076927</v>
      </c>
      <c r="AB15" s="12">
        <v>0.23076923076923078</v>
      </c>
      <c r="AC15" s="12">
        <v>1</v>
      </c>
    </row>
    <row r="16" spans="1:29">
      <c r="Z16" s="9" t="s">
        <v>175</v>
      </c>
      <c r="AA16" s="12">
        <v>0.75</v>
      </c>
      <c r="AB16" s="12">
        <v>0.25</v>
      </c>
      <c r="AC16" s="12">
        <v>1</v>
      </c>
    </row>
    <row r="17" spans="26:29">
      <c r="Z17" s="9" t="s">
        <v>134</v>
      </c>
      <c r="AA17" s="12">
        <v>0.83877551020408159</v>
      </c>
      <c r="AB17" s="12">
        <v>0.16122448979591836</v>
      </c>
      <c r="AC17" s="12">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E838B-8C2A-4753-B2D1-80165AB704B7}">
  <dimension ref="A2:E10"/>
  <sheetViews>
    <sheetView showGridLines="0" workbookViewId="0">
      <selection activeCell="D14" sqref="D14"/>
    </sheetView>
  </sheetViews>
  <sheetFormatPr defaultRowHeight="13.8"/>
  <cols>
    <col min="1" max="1" width="17" bestFit="1" customWidth="1"/>
    <col min="2" max="2" width="12.796875" bestFit="1" customWidth="1"/>
    <col min="3" max="3" width="2.796875" customWidth="1"/>
    <col min="4" max="4" width="17" bestFit="1" customWidth="1"/>
    <col min="5" max="5" width="23.59765625" bestFit="1" customWidth="1"/>
  </cols>
  <sheetData>
    <row r="2" spans="1:5">
      <c r="A2" s="16" t="s">
        <v>153</v>
      </c>
      <c r="D2" s="16" t="s">
        <v>155</v>
      </c>
    </row>
    <row r="7" spans="1:5">
      <c r="A7" s="13" t="s">
        <v>154</v>
      </c>
      <c r="B7" s="10" t="s">
        <v>139</v>
      </c>
      <c r="D7" s="13" t="s">
        <v>154</v>
      </c>
      <c r="E7" s="10" t="s">
        <v>141</v>
      </c>
    </row>
    <row r="8" spans="1:5">
      <c r="A8" s="14" t="s">
        <v>43</v>
      </c>
      <c r="B8" s="17">
        <v>37.561232765612324</v>
      </c>
      <c r="D8" s="14" t="s">
        <v>43</v>
      </c>
      <c r="E8" s="18">
        <v>6832.7396593673966</v>
      </c>
    </row>
    <row r="9" spans="1:5">
      <c r="A9" s="14" t="s">
        <v>35</v>
      </c>
      <c r="B9" s="17">
        <v>33.607594936708864</v>
      </c>
      <c r="D9" s="14" t="s">
        <v>35</v>
      </c>
      <c r="E9" s="18">
        <v>4787.0928270042195</v>
      </c>
    </row>
    <row r="10" spans="1:5">
      <c r="A10" s="14" t="s">
        <v>134</v>
      </c>
      <c r="B10" s="17">
        <v>36.923809523809524</v>
      </c>
      <c r="D10" s="14" t="s">
        <v>134</v>
      </c>
      <c r="E10" s="18">
        <v>6502.931292517007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2466D-35EC-40ED-8D10-491273FF8D88}">
  <dimension ref="A1:E13"/>
  <sheetViews>
    <sheetView showGridLines="0" workbookViewId="0">
      <selection activeCell="D19" sqref="D19"/>
    </sheetView>
  </sheetViews>
  <sheetFormatPr defaultRowHeight="13.8"/>
  <cols>
    <col min="1" max="1" width="22.5" bestFit="1" customWidth="1"/>
    <col min="2" max="2" width="23" bestFit="1" customWidth="1"/>
    <col min="3" max="3" width="3.3984375" customWidth="1"/>
    <col min="4" max="4" width="16.5" bestFit="1" customWidth="1"/>
    <col min="5" max="5" width="22.5" bestFit="1" customWidth="1"/>
  </cols>
  <sheetData>
    <row r="1" spans="1:5">
      <c r="A1" s="16" t="s">
        <v>156</v>
      </c>
      <c r="D1" s="16" t="s">
        <v>159</v>
      </c>
    </row>
    <row r="3" spans="1:5">
      <c r="A3" s="13" t="s">
        <v>138</v>
      </c>
      <c r="B3" s="10" t="s">
        <v>137</v>
      </c>
      <c r="D3" s="8" t="s">
        <v>136</v>
      </c>
      <c r="E3" t="s">
        <v>158</v>
      </c>
    </row>
    <row r="4" spans="1:5">
      <c r="A4" s="14" t="s">
        <v>61</v>
      </c>
      <c r="B4" s="17">
        <v>2.5576923076923075</v>
      </c>
      <c r="D4" s="9" t="s">
        <v>43</v>
      </c>
      <c r="E4" s="11">
        <v>2.778588807785888</v>
      </c>
    </row>
    <row r="5" spans="1:5">
      <c r="A5" s="14" t="s">
        <v>53</v>
      </c>
      <c r="B5" s="17">
        <v>2.682758620689655</v>
      </c>
      <c r="D5" s="9" t="s">
        <v>35</v>
      </c>
      <c r="E5" s="11">
        <v>2.4683544303797467</v>
      </c>
    </row>
    <row r="6" spans="1:5">
      <c r="A6" s="14" t="s">
        <v>50</v>
      </c>
      <c r="B6" s="17">
        <v>2.6911196911196913</v>
      </c>
      <c r="D6" s="9" t="s">
        <v>134</v>
      </c>
      <c r="E6" s="11">
        <v>2.7285714285714286</v>
      </c>
    </row>
    <row r="7" spans="1:5">
      <c r="A7" s="14" t="s">
        <v>58</v>
      </c>
      <c r="B7" s="17">
        <v>2.7</v>
      </c>
    </row>
    <row r="8" spans="1:5">
      <c r="A8" s="14" t="s">
        <v>56</v>
      </c>
      <c r="B8" s="17">
        <v>2.7058823529411766</v>
      </c>
    </row>
    <row r="9" spans="1:5">
      <c r="A9" s="14" t="s">
        <v>57</v>
      </c>
      <c r="B9" s="17">
        <v>2.7349397590361444</v>
      </c>
    </row>
    <row r="10" spans="1:5">
      <c r="A10" s="14" t="s">
        <v>40</v>
      </c>
      <c r="B10" s="17">
        <v>2.7546012269938651</v>
      </c>
    </row>
    <row r="11" spans="1:5">
      <c r="A11" s="14" t="s">
        <v>47</v>
      </c>
      <c r="B11" s="17">
        <v>2.7739726027397262</v>
      </c>
    </row>
    <row r="12" spans="1:5">
      <c r="A12" s="14" t="s">
        <v>54</v>
      </c>
      <c r="B12" s="17">
        <v>2.7862595419847329</v>
      </c>
    </row>
    <row r="13" spans="1:5">
      <c r="A13" s="14" t="s">
        <v>134</v>
      </c>
      <c r="B13" s="17">
        <v>2.7285714285714286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E3AA2-4BDB-4793-878E-5C59CDC142B6}">
  <dimension ref="A1:E10"/>
  <sheetViews>
    <sheetView showGridLines="0" workbookViewId="0">
      <selection activeCell="D16" sqref="D16"/>
    </sheetView>
  </sheetViews>
  <sheetFormatPr defaultRowHeight="13.8"/>
  <cols>
    <col min="1" max="1" width="17" bestFit="1" customWidth="1"/>
    <col min="2" max="2" width="26.09765625" bestFit="1" customWidth="1"/>
    <col min="3" max="3" width="3.3984375" customWidth="1"/>
    <col min="4" max="4" width="16.5" bestFit="1" customWidth="1"/>
    <col min="5" max="5" width="25.59765625" bestFit="1" customWidth="1"/>
  </cols>
  <sheetData>
    <row r="1" spans="1:5">
      <c r="A1" s="16" t="s">
        <v>161</v>
      </c>
      <c r="D1" s="16" t="s">
        <v>162</v>
      </c>
    </row>
    <row r="7" spans="1:5">
      <c r="A7" s="8" t="s">
        <v>154</v>
      </c>
      <c r="B7" t="s">
        <v>160</v>
      </c>
      <c r="D7" s="8" t="s">
        <v>136</v>
      </c>
      <c r="E7" t="s">
        <v>163</v>
      </c>
    </row>
    <row r="8" spans="1:5">
      <c r="A8" s="9" t="s">
        <v>43</v>
      </c>
      <c r="B8" s="11">
        <v>3.1532846715328469</v>
      </c>
      <c r="D8" s="9" t="s">
        <v>43</v>
      </c>
      <c r="E8" s="11">
        <v>2.781021897810219</v>
      </c>
    </row>
    <row r="9" spans="1:5">
      <c r="A9" s="9" t="s">
        <v>35</v>
      </c>
      <c r="B9" s="11">
        <v>3.1561181434599157</v>
      </c>
      <c r="D9" s="9" t="s">
        <v>35</v>
      </c>
      <c r="E9" s="11">
        <v>2.6582278481012658</v>
      </c>
    </row>
    <row r="10" spans="1:5">
      <c r="A10" s="9" t="s">
        <v>134</v>
      </c>
      <c r="B10" s="11">
        <v>3.1537414965986397</v>
      </c>
      <c r="D10" s="9" t="s">
        <v>134</v>
      </c>
      <c r="E10" s="11">
        <v>2.7612244897959184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96068-3D0D-4B70-A3EA-0F0E38A77003}">
  <dimension ref="A1:E1471"/>
  <sheetViews>
    <sheetView workbookViewId="0">
      <selection activeCell="D1" sqref="D1:E13"/>
    </sheetView>
  </sheetViews>
  <sheetFormatPr defaultRowHeight="13.8"/>
  <cols>
    <col min="1" max="1" width="13.8984375" bestFit="1" customWidth="1"/>
    <col min="2" max="2" width="10.3984375" bestFit="1" customWidth="1"/>
    <col min="3" max="3" width="14" bestFit="1" customWidth="1"/>
    <col min="4" max="4" width="20.796875" bestFit="1" customWidth="1"/>
    <col min="5" max="5" width="26" bestFit="1" customWidth="1"/>
  </cols>
  <sheetData>
    <row r="1" spans="1:5">
      <c r="A1" s="19" t="s">
        <v>9</v>
      </c>
      <c r="B1" s="19" t="s">
        <v>188</v>
      </c>
      <c r="C1" s="19" t="s">
        <v>189</v>
      </c>
      <c r="D1" s="19" t="s">
        <v>190</v>
      </c>
      <c r="E1" s="19" t="s">
        <v>191</v>
      </c>
    </row>
    <row r="2" spans="1:5">
      <c r="A2" s="19">
        <f>Raw_Data!J2</f>
        <v>1</v>
      </c>
      <c r="B2" s="19">
        <f>--(Raw_Data!B2="Yes")</f>
        <v>1</v>
      </c>
      <c r="C2" s="19">
        <f>SUM(B2:B1471)</f>
        <v>237</v>
      </c>
      <c r="D2" s="19" t="s">
        <v>0</v>
      </c>
      <c r="E2" s="20">
        <f>CORREL($B$2:$B$1471,Raw_Data!$A$2:$A$1471)</f>
        <v>-0.15920500686577846</v>
      </c>
    </row>
    <row r="3" spans="1:5">
      <c r="A3" s="19">
        <f>Raw_Data!J3</f>
        <v>2</v>
      </c>
      <c r="B3" s="19">
        <f>--(Raw_Data!B3="Yes")</f>
        <v>0</v>
      </c>
      <c r="D3" s="19" t="s">
        <v>18</v>
      </c>
      <c r="E3" s="20">
        <f>CORREL($B$2:$B$1471,Raw_Data!$S$2:$S$1471)</f>
        <v>-0.15983958238498774</v>
      </c>
    </row>
    <row r="4" spans="1:5">
      <c r="A4" s="19">
        <f>Raw_Data!J4</f>
        <v>4</v>
      </c>
      <c r="B4" s="19">
        <f>--(Raw_Data!B4="Yes")</f>
        <v>1</v>
      </c>
      <c r="D4" s="19" t="s">
        <v>28</v>
      </c>
      <c r="E4" s="20">
        <f>CORREL($B$2:$B$1471,Raw_Data!$AC$2:$AC$1471)</f>
        <v>-0.17106324613622528</v>
      </c>
    </row>
    <row r="5" spans="1:5">
      <c r="A5" s="19">
        <f>Raw_Data!J5</f>
        <v>5</v>
      </c>
      <c r="B5" s="19">
        <f>--(Raw_Data!B5="Yes")</f>
        <v>0</v>
      </c>
      <c r="D5" s="19" t="s">
        <v>31</v>
      </c>
      <c r="E5" s="20">
        <f>CORREL($B$2:$B$1471,Raw_Data!$AF$2:$AF$1471)</f>
        <v>-0.13439221398997619</v>
      </c>
    </row>
    <row r="6" spans="1:5">
      <c r="A6" s="19">
        <f>Raw_Data!J6</f>
        <v>7</v>
      </c>
      <c r="B6" s="19">
        <f>--(Raw_Data!B6="Yes")</f>
        <v>0</v>
      </c>
      <c r="D6" s="19" t="s">
        <v>32</v>
      </c>
      <c r="E6" s="20">
        <f>CORREL($B$2:$B$1471,Raw_Data!$AG$2:$AG$1471)</f>
        <v>-0.16054500426769938</v>
      </c>
    </row>
    <row r="7" spans="1:5">
      <c r="A7" s="19">
        <f>Raw_Data!J7</f>
        <v>8</v>
      </c>
      <c r="B7" s="19">
        <f>--(Raw_Data!B7="Yes")</f>
        <v>0</v>
      </c>
      <c r="D7" s="19" t="s">
        <v>34</v>
      </c>
      <c r="E7" s="20">
        <f>CORREL($B$2:$B$1471,Raw_Data!$AI$2:$AI$1471)</f>
        <v>-0.15619931590162839</v>
      </c>
    </row>
    <row r="8" spans="1:5">
      <c r="A8" s="19">
        <f>Raw_Data!J8</f>
        <v>10</v>
      </c>
      <c r="B8" s="19">
        <f>--(Raw_Data!B8="Yes")</f>
        <v>0</v>
      </c>
      <c r="D8" s="19" t="s">
        <v>16</v>
      </c>
      <c r="E8" s="20">
        <f>CORREL($B$2:$B$1471,Raw_Data!$Q$2:$Q$1471)</f>
        <v>-0.10348112606902207</v>
      </c>
    </row>
    <row r="9" spans="1:5">
      <c r="A9" s="19">
        <f>Raw_Data!J9</f>
        <v>11</v>
      </c>
      <c r="B9" s="19">
        <f>--(Raw_Data!B9="Yes")</f>
        <v>0</v>
      </c>
      <c r="D9" s="19" t="s">
        <v>30</v>
      </c>
      <c r="E9" s="20">
        <f>CORREL($B$2:$B$1471,Raw_Data!$AE$2:$AE$1471)</f>
        <v>-6.3939047217409117E-2</v>
      </c>
    </row>
    <row r="10" spans="1:5">
      <c r="A10" s="19">
        <f>Raw_Data!J10</f>
        <v>12</v>
      </c>
      <c r="B10" s="19">
        <f>--(Raw_Data!B10="Yes")</f>
        <v>0</v>
      </c>
      <c r="D10" s="19" t="s">
        <v>14</v>
      </c>
      <c r="E10" s="20">
        <f>CORREL($B$2:$B$1471,Raw_Data!$O$2:$O$1471)</f>
        <v>-0.16910475093102884</v>
      </c>
    </row>
    <row r="11" spans="1:5">
      <c r="A11" s="19">
        <f>Raw_Data!J11</f>
        <v>13</v>
      </c>
      <c r="B11" s="19">
        <f>--(Raw_Data!B11="Yes")</f>
        <v>0</v>
      </c>
      <c r="D11" s="19" t="s">
        <v>5</v>
      </c>
      <c r="E11" s="20">
        <f>CORREL($B$2:$B$1471,Raw_Data!$F$2:$F$1471)</f>
        <v>7.7923582955703577E-2</v>
      </c>
    </row>
    <row r="12" spans="1:5">
      <c r="A12" s="19">
        <f>Raw_Data!J12</f>
        <v>14</v>
      </c>
      <c r="B12" s="19">
        <f>--(Raw_Data!B12="Yes")</f>
        <v>0</v>
      </c>
      <c r="D12" s="19" t="s">
        <v>20</v>
      </c>
      <c r="E12" s="20">
        <f>CORREL($B$2:$B$1471,Raw_Data!$U$2:$U$1471)</f>
        <v>4.349373905781375E-2</v>
      </c>
    </row>
    <row r="13" spans="1:5">
      <c r="A13" s="19">
        <f>Raw_Data!J13</f>
        <v>15</v>
      </c>
      <c r="B13" s="19">
        <f>--(Raw_Data!B13="Yes")</f>
        <v>0</v>
      </c>
      <c r="D13" s="19" t="s">
        <v>24</v>
      </c>
      <c r="E13" s="20">
        <f>CORREL($B$2:$B$1471,Raw_Data!$Y$2:$Y$1471)</f>
        <v>2.888751711080946E-3</v>
      </c>
    </row>
    <row r="14" spans="1:5">
      <c r="A14" s="19">
        <f>Raw_Data!J14</f>
        <v>16</v>
      </c>
      <c r="B14" s="19">
        <f>--(Raw_Data!B14="Yes")</f>
        <v>0</v>
      </c>
    </row>
    <row r="15" spans="1:5">
      <c r="A15" s="19">
        <f>Raw_Data!J15</f>
        <v>18</v>
      </c>
      <c r="B15" s="19">
        <f>--(Raw_Data!B15="Yes")</f>
        <v>0</v>
      </c>
    </row>
    <row r="16" spans="1:5">
      <c r="A16" s="19">
        <f>Raw_Data!J16</f>
        <v>19</v>
      </c>
      <c r="B16" s="19">
        <f>--(Raw_Data!B16="Yes")</f>
        <v>1</v>
      </c>
    </row>
    <row r="17" spans="1:2">
      <c r="A17" s="19">
        <f>Raw_Data!J17</f>
        <v>20</v>
      </c>
      <c r="B17" s="19">
        <f>--(Raw_Data!B17="Yes")</f>
        <v>0</v>
      </c>
    </row>
    <row r="18" spans="1:2">
      <c r="A18" s="19">
        <f>Raw_Data!J18</f>
        <v>21</v>
      </c>
      <c r="B18" s="19">
        <f>--(Raw_Data!B18="Yes")</f>
        <v>0</v>
      </c>
    </row>
    <row r="19" spans="1:2">
      <c r="A19" s="19">
        <f>Raw_Data!J19</f>
        <v>22</v>
      </c>
      <c r="B19" s="19">
        <f>--(Raw_Data!B19="Yes")</f>
        <v>0</v>
      </c>
    </row>
    <row r="20" spans="1:2">
      <c r="A20" s="19">
        <f>Raw_Data!J20</f>
        <v>23</v>
      </c>
      <c r="B20" s="19">
        <f>--(Raw_Data!B20="Yes")</f>
        <v>0</v>
      </c>
    </row>
    <row r="21" spans="1:2">
      <c r="A21" s="19">
        <f>Raw_Data!J21</f>
        <v>24</v>
      </c>
      <c r="B21" s="19">
        <f>--(Raw_Data!B21="Yes")</f>
        <v>0</v>
      </c>
    </row>
    <row r="22" spans="1:2">
      <c r="A22" s="19">
        <f>Raw_Data!J22</f>
        <v>26</v>
      </c>
      <c r="B22" s="19">
        <f>--(Raw_Data!B22="Yes")</f>
        <v>0</v>
      </c>
    </row>
    <row r="23" spans="1:2">
      <c r="A23" s="19">
        <f>Raw_Data!J23</f>
        <v>27</v>
      </c>
      <c r="B23" s="19">
        <f>--(Raw_Data!B23="Yes")</f>
        <v>1</v>
      </c>
    </row>
    <row r="24" spans="1:2">
      <c r="A24" s="19">
        <f>Raw_Data!J24</f>
        <v>28</v>
      </c>
      <c r="B24" s="19">
        <f>--(Raw_Data!B24="Yes")</f>
        <v>0</v>
      </c>
    </row>
    <row r="25" spans="1:2">
      <c r="A25" s="19">
        <f>Raw_Data!J25</f>
        <v>30</v>
      </c>
      <c r="B25" s="19">
        <f>--(Raw_Data!B25="Yes")</f>
        <v>0</v>
      </c>
    </row>
    <row r="26" spans="1:2">
      <c r="A26" s="19">
        <f>Raw_Data!J26</f>
        <v>31</v>
      </c>
      <c r="B26" s="19">
        <f>--(Raw_Data!B26="Yes")</f>
        <v>1</v>
      </c>
    </row>
    <row r="27" spans="1:2">
      <c r="A27" s="19">
        <f>Raw_Data!J27</f>
        <v>32</v>
      </c>
      <c r="B27" s="19">
        <f>--(Raw_Data!B27="Yes")</f>
        <v>0</v>
      </c>
    </row>
    <row r="28" spans="1:2">
      <c r="A28" s="19">
        <f>Raw_Data!J28</f>
        <v>33</v>
      </c>
      <c r="B28" s="19">
        <f>--(Raw_Data!B28="Yes")</f>
        <v>1</v>
      </c>
    </row>
    <row r="29" spans="1:2">
      <c r="A29" s="19">
        <f>Raw_Data!J29</f>
        <v>35</v>
      </c>
      <c r="B29" s="19">
        <f>--(Raw_Data!B29="Yes")</f>
        <v>0</v>
      </c>
    </row>
    <row r="30" spans="1:2">
      <c r="A30" s="19">
        <f>Raw_Data!J30</f>
        <v>36</v>
      </c>
      <c r="B30" s="19">
        <f>--(Raw_Data!B30="Yes")</f>
        <v>0</v>
      </c>
    </row>
    <row r="31" spans="1:2">
      <c r="A31" s="19">
        <f>Raw_Data!J31</f>
        <v>38</v>
      </c>
      <c r="B31" s="19">
        <f>--(Raw_Data!B31="Yes")</f>
        <v>0</v>
      </c>
    </row>
    <row r="32" spans="1:2">
      <c r="A32" s="19">
        <f>Raw_Data!J32</f>
        <v>39</v>
      </c>
      <c r="B32" s="19">
        <f>--(Raw_Data!B32="Yes")</f>
        <v>0</v>
      </c>
    </row>
    <row r="33" spans="1:2">
      <c r="A33" s="19">
        <f>Raw_Data!J33</f>
        <v>40</v>
      </c>
      <c r="B33" s="19">
        <f>--(Raw_Data!B33="Yes")</f>
        <v>0</v>
      </c>
    </row>
    <row r="34" spans="1:2">
      <c r="A34" s="19">
        <f>Raw_Data!J34</f>
        <v>41</v>
      </c>
      <c r="B34" s="19">
        <f>--(Raw_Data!B34="Yes")</f>
        <v>0</v>
      </c>
    </row>
    <row r="35" spans="1:2">
      <c r="A35" s="19">
        <f>Raw_Data!J35</f>
        <v>42</v>
      </c>
      <c r="B35" s="19">
        <f>--(Raw_Data!B35="Yes")</f>
        <v>1</v>
      </c>
    </row>
    <row r="36" spans="1:2">
      <c r="A36" s="19">
        <f>Raw_Data!J36</f>
        <v>45</v>
      </c>
      <c r="B36" s="19">
        <f>--(Raw_Data!B36="Yes")</f>
        <v>1</v>
      </c>
    </row>
    <row r="37" spans="1:2">
      <c r="A37" s="19">
        <f>Raw_Data!J37</f>
        <v>46</v>
      </c>
      <c r="B37" s="19">
        <f>--(Raw_Data!B37="Yes")</f>
        <v>0</v>
      </c>
    </row>
    <row r="38" spans="1:2">
      <c r="A38" s="19">
        <f>Raw_Data!J38</f>
        <v>47</v>
      </c>
      <c r="B38" s="19">
        <f>--(Raw_Data!B38="Yes")</f>
        <v>1</v>
      </c>
    </row>
    <row r="39" spans="1:2">
      <c r="A39" s="19">
        <f>Raw_Data!J39</f>
        <v>49</v>
      </c>
      <c r="B39" s="19">
        <f>--(Raw_Data!B39="Yes")</f>
        <v>0</v>
      </c>
    </row>
    <row r="40" spans="1:2">
      <c r="A40" s="19">
        <f>Raw_Data!J40</f>
        <v>51</v>
      </c>
      <c r="B40" s="19">
        <f>--(Raw_Data!B40="Yes")</f>
        <v>0</v>
      </c>
    </row>
    <row r="41" spans="1:2">
      <c r="A41" s="19">
        <f>Raw_Data!J41</f>
        <v>52</v>
      </c>
      <c r="B41" s="19">
        <f>--(Raw_Data!B41="Yes")</f>
        <v>0</v>
      </c>
    </row>
    <row r="42" spans="1:2">
      <c r="A42" s="19">
        <f>Raw_Data!J42</f>
        <v>53</v>
      </c>
      <c r="B42" s="19">
        <f>--(Raw_Data!B42="Yes")</f>
        <v>0</v>
      </c>
    </row>
    <row r="43" spans="1:2">
      <c r="A43" s="19">
        <f>Raw_Data!J43</f>
        <v>54</v>
      </c>
      <c r="B43" s="19">
        <f>--(Raw_Data!B43="Yes")</f>
        <v>0</v>
      </c>
    </row>
    <row r="44" spans="1:2">
      <c r="A44" s="19">
        <f>Raw_Data!J44</f>
        <v>55</v>
      </c>
      <c r="B44" s="19">
        <f>--(Raw_Data!B44="Yes")</f>
        <v>1</v>
      </c>
    </row>
    <row r="45" spans="1:2">
      <c r="A45" s="19">
        <f>Raw_Data!J45</f>
        <v>56</v>
      </c>
      <c r="B45" s="19">
        <f>--(Raw_Data!B45="Yes")</f>
        <v>0</v>
      </c>
    </row>
    <row r="46" spans="1:2">
      <c r="A46" s="19">
        <f>Raw_Data!J46</f>
        <v>57</v>
      </c>
      <c r="B46" s="19">
        <f>--(Raw_Data!B46="Yes")</f>
        <v>0</v>
      </c>
    </row>
    <row r="47" spans="1:2">
      <c r="A47" s="19">
        <f>Raw_Data!J47</f>
        <v>58</v>
      </c>
      <c r="B47" s="19">
        <f>--(Raw_Data!B47="Yes")</f>
        <v>1</v>
      </c>
    </row>
    <row r="48" spans="1:2">
      <c r="A48" s="19">
        <f>Raw_Data!J48</f>
        <v>60</v>
      </c>
      <c r="B48" s="19">
        <f>--(Raw_Data!B48="Yes")</f>
        <v>0</v>
      </c>
    </row>
    <row r="49" spans="1:2">
      <c r="A49" s="19">
        <f>Raw_Data!J49</f>
        <v>61</v>
      </c>
      <c r="B49" s="19">
        <f>--(Raw_Data!B49="Yes")</f>
        <v>0</v>
      </c>
    </row>
    <row r="50" spans="1:2">
      <c r="A50" s="19">
        <f>Raw_Data!J50</f>
        <v>62</v>
      </c>
      <c r="B50" s="19">
        <f>--(Raw_Data!B50="Yes")</f>
        <v>0</v>
      </c>
    </row>
    <row r="51" spans="1:2">
      <c r="A51" s="19">
        <f>Raw_Data!J51</f>
        <v>63</v>
      </c>
      <c r="B51" s="19">
        <f>--(Raw_Data!B51="Yes")</f>
        <v>0</v>
      </c>
    </row>
    <row r="52" spans="1:2">
      <c r="A52" s="19">
        <f>Raw_Data!J52</f>
        <v>64</v>
      </c>
      <c r="B52" s="19">
        <f>--(Raw_Data!B52="Yes")</f>
        <v>1</v>
      </c>
    </row>
    <row r="53" spans="1:2">
      <c r="A53" s="19">
        <f>Raw_Data!J53</f>
        <v>65</v>
      </c>
      <c r="B53" s="19">
        <f>--(Raw_Data!B53="Yes")</f>
        <v>1</v>
      </c>
    </row>
    <row r="54" spans="1:2">
      <c r="A54" s="19">
        <f>Raw_Data!J54</f>
        <v>68</v>
      </c>
      <c r="B54" s="19">
        <f>--(Raw_Data!B54="Yes")</f>
        <v>0</v>
      </c>
    </row>
    <row r="55" spans="1:2">
      <c r="A55" s="19">
        <f>Raw_Data!J55</f>
        <v>70</v>
      </c>
      <c r="B55" s="19">
        <f>--(Raw_Data!B55="Yes")</f>
        <v>0</v>
      </c>
    </row>
    <row r="56" spans="1:2">
      <c r="A56" s="19">
        <f>Raw_Data!J56</f>
        <v>72</v>
      </c>
      <c r="B56" s="19">
        <f>--(Raw_Data!B56="Yes")</f>
        <v>0</v>
      </c>
    </row>
    <row r="57" spans="1:2">
      <c r="A57" s="19">
        <f>Raw_Data!J57</f>
        <v>73</v>
      </c>
      <c r="B57" s="19">
        <f>--(Raw_Data!B57="Yes")</f>
        <v>0</v>
      </c>
    </row>
    <row r="58" spans="1:2">
      <c r="A58" s="19">
        <f>Raw_Data!J58</f>
        <v>74</v>
      </c>
      <c r="B58" s="19">
        <f>--(Raw_Data!B58="Yes")</f>
        <v>0</v>
      </c>
    </row>
    <row r="59" spans="1:2">
      <c r="A59" s="19">
        <f>Raw_Data!J59</f>
        <v>75</v>
      </c>
      <c r="B59" s="19">
        <f>--(Raw_Data!B59="Yes")</f>
        <v>0</v>
      </c>
    </row>
    <row r="60" spans="1:2">
      <c r="A60" s="19">
        <f>Raw_Data!J60</f>
        <v>76</v>
      </c>
      <c r="B60" s="19">
        <f>--(Raw_Data!B60="Yes")</f>
        <v>0</v>
      </c>
    </row>
    <row r="61" spans="1:2">
      <c r="A61" s="19">
        <f>Raw_Data!J61</f>
        <v>77</v>
      </c>
      <c r="B61" s="19">
        <f>--(Raw_Data!B61="Yes")</f>
        <v>0</v>
      </c>
    </row>
    <row r="62" spans="1:2">
      <c r="A62" s="19">
        <f>Raw_Data!J62</f>
        <v>78</v>
      </c>
      <c r="B62" s="19">
        <f>--(Raw_Data!B62="Yes")</f>
        <v>0</v>
      </c>
    </row>
    <row r="63" spans="1:2">
      <c r="A63" s="19">
        <f>Raw_Data!J63</f>
        <v>79</v>
      </c>
      <c r="B63" s="19">
        <f>--(Raw_Data!B63="Yes")</f>
        <v>0</v>
      </c>
    </row>
    <row r="64" spans="1:2">
      <c r="A64" s="19">
        <f>Raw_Data!J64</f>
        <v>80</v>
      </c>
      <c r="B64" s="19">
        <f>--(Raw_Data!B64="Yes")</f>
        <v>0</v>
      </c>
    </row>
    <row r="65" spans="1:2">
      <c r="A65" s="19">
        <f>Raw_Data!J65</f>
        <v>81</v>
      </c>
      <c r="B65" s="19">
        <f>--(Raw_Data!B65="Yes")</f>
        <v>0</v>
      </c>
    </row>
    <row r="66" spans="1:2">
      <c r="A66" s="19">
        <f>Raw_Data!J66</f>
        <v>83</v>
      </c>
      <c r="B66" s="19">
        <f>--(Raw_Data!B66="Yes")</f>
        <v>0</v>
      </c>
    </row>
    <row r="67" spans="1:2">
      <c r="A67" s="19">
        <f>Raw_Data!J67</f>
        <v>84</v>
      </c>
      <c r="B67" s="19">
        <f>--(Raw_Data!B67="Yes")</f>
        <v>0</v>
      </c>
    </row>
    <row r="68" spans="1:2">
      <c r="A68" s="19">
        <f>Raw_Data!J68</f>
        <v>85</v>
      </c>
      <c r="B68" s="19">
        <f>--(Raw_Data!B68="Yes")</f>
        <v>0</v>
      </c>
    </row>
    <row r="69" spans="1:2">
      <c r="A69" s="19">
        <f>Raw_Data!J69</f>
        <v>86</v>
      </c>
      <c r="B69" s="19">
        <f>--(Raw_Data!B69="Yes")</f>
        <v>0</v>
      </c>
    </row>
    <row r="70" spans="1:2">
      <c r="A70" s="19">
        <f>Raw_Data!J70</f>
        <v>88</v>
      </c>
      <c r="B70" s="19">
        <f>--(Raw_Data!B70="Yes")</f>
        <v>0</v>
      </c>
    </row>
    <row r="71" spans="1:2">
      <c r="A71" s="19">
        <f>Raw_Data!J71</f>
        <v>90</v>
      </c>
      <c r="B71" s="19">
        <f>--(Raw_Data!B71="Yes")</f>
        <v>1</v>
      </c>
    </row>
    <row r="72" spans="1:2">
      <c r="A72" s="19">
        <f>Raw_Data!J72</f>
        <v>91</v>
      </c>
      <c r="B72" s="19">
        <f>--(Raw_Data!B72="Yes")</f>
        <v>0</v>
      </c>
    </row>
    <row r="73" spans="1:2">
      <c r="A73" s="19">
        <f>Raw_Data!J73</f>
        <v>94</v>
      </c>
      <c r="B73" s="19">
        <f>--(Raw_Data!B73="Yes")</f>
        <v>0</v>
      </c>
    </row>
    <row r="74" spans="1:2">
      <c r="A74" s="19">
        <f>Raw_Data!J74</f>
        <v>95</v>
      </c>
      <c r="B74" s="19">
        <f>--(Raw_Data!B74="Yes")</f>
        <v>0</v>
      </c>
    </row>
    <row r="75" spans="1:2">
      <c r="A75" s="19">
        <f>Raw_Data!J75</f>
        <v>96</v>
      </c>
      <c r="B75" s="19">
        <f>--(Raw_Data!B75="Yes")</f>
        <v>0</v>
      </c>
    </row>
    <row r="76" spans="1:2">
      <c r="A76" s="19">
        <f>Raw_Data!J76</f>
        <v>97</v>
      </c>
      <c r="B76" s="19">
        <f>--(Raw_Data!B76="Yes")</f>
        <v>0</v>
      </c>
    </row>
    <row r="77" spans="1:2">
      <c r="A77" s="19">
        <f>Raw_Data!J77</f>
        <v>98</v>
      </c>
      <c r="B77" s="19">
        <f>--(Raw_Data!B77="Yes")</f>
        <v>0</v>
      </c>
    </row>
    <row r="78" spans="1:2">
      <c r="A78" s="19">
        <f>Raw_Data!J78</f>
        <v>100</v>
      </c>
      <c r="B78" s="19">
        <f>--(Raw_Data!B78="Yes")</f>
        <v>0</v>
      </c>
    </row>
    <row r="79" spans="1:2">
      <c r="A79" s="19">
        <f>Raw_Data!J79</f>
        <v>101</v>
      </c>
      <c r="B79" s="19">
        <f>--(Raw_Data!B79="Yes")</f>
        <v>0</v>
      </c>
    </row>
    <row r="80" spans="1:2">
      <c r="A80" s="19">
        <f>Raw_Data!J80</f>
        <v>102</v>
      </c>
      <c r="B80" s="19">
        <f>--(Raw_Data!B80="Yes")</f>
        <v>0</v>
      </c>
    </row>
    <row r="81" spans="1:2">
      <c r="A81" s="19">
        <f>Raw_Data!J81</f>
        <v>103</v>
      </c>
      <c r="B81" s="19">
        <f>--(Raw_Data!B81="Yes")</f>
        <v>0</v>
      </c>
    </row>
    <row r="82" spans="1:2">
      <c r="A82" s="19">
        <f>Raw_Data!J82</f>
        <v>104</v>
      </c>
      <c r="B82" s="19">
        <f>--(Raw_Data!B82="Yes")</f>
        <v>0</v>
      </c>
    </row>
    <row r="83" spans="1:2">
      <c r="A83" s="19">
        <f>Raw_Data!J83</f>
        <v>105</v>
      </c>
      <c r="B83" s="19">
        <f>--(Raw_Data!B83="Yes")</f>
        <v>0</v>
      </c>
    </row>
    <row r="84" spans="1:2">
      <c r="A84" s="19">
        <f>Raw_Data!J84</f>
        <v>106</v>
      </c>
      <c r="B84" s="19">
        <f>--(Raw_Data!B84="Yes")</f>
        <v>0</v>
      </c>
    </row>
    <row r="85" spans="1:2">
      <c r="A85" s="19">
        <f>Raw_Data!J85</f>
        <v>107</v>
      </c>
      <c r="B85" s="19">
        <f>--(Raw_Data!B85="Yes")</f>
        <v>0</v>
      </c>
    </row>
    <row r="86" spans="1:2">
      <c r="A86" s="19">
        <f>Raw_Data!J86</f>
        <v>110</v>
      </c>
      <c r="B86" s="19">
        <f>--(Raw_Data!B86="Yes")</f>
        <v>0</v>
      </c>
    </row>
    <row r="87" spans="1:2">
      <c r="A87" s="19">
        <f>Raw_Data!J87</f>
        <v>112</v>
      </c>
      <c r="B87" s="19">
        <f>--(Raw_Data!B87="Yes")</f>
        <v>0</v>
      </c>
    </row>
    <row r="88" spans="1:2">
      <c r="A88" s="19">
        <f>Raw_Data!J88</f>
        <v>113</v>
      </c>
      <c r="B88" s="19">
        <f>--(Raw_Data!B88="Yes")</f>
        <v>0</v>
      </c>
    </row>
    <row r="89" spans="1:2">
      <c r="A89" s="19">
        <f>Raw_Data!J89</f>
        <v>116</v>
      </c>
      <c r="B89" s="19">
        <f>--(Raw_Data!B89="Yes")</f>
        <v>0</v>
      </c>
    </row>
    <row r="90" spans="1:2">
      <c r="A90" s="19">
        <f>Raw_Data!J90</f>
        <v>117</v>
      </c>
      <c r="B90" s="19">
        <f>--(Raw_Data!B90="Yes")</f>
        <v>0</v>
      </c>
    </row>
    <row r="91" spans="1:2">
      <c r="A91" s="19">
        <f>Raw_Data!J91</f>
        <v>118</v>
      </c>
      <c r="B91" s="19">
        <f>--(Raw_Data!B91="Yes")</f>
        <v>1</v>
      </c>
    </row>
    <row r="92" spans="1:2">
      <c r="A92" s="19">
        <f>Raw_Data!J92</f>
        <v>119</v>
      </c>
      <c r="B92" s="19">
        <f>--(Raw_Data!B92="Yes")</f>
        <v>0</v>
      </c>
    </row>
    <row r="93" spans="1:2">
      <c r="A93" s="19">
        <f>Raw_Data!J93</f>
        <v>120</v>
      </c>
      <c r="B93" s="19">
        <f>--(Raw_Data!B93="Yes")</f>
        <v>0</v>
      </c>
    </row>
    <row r="94" spans="1:2">
      <c r="A94" s="19">
        <f>Raw_Data!J94</f>
        <v>121</v>
      </c>
      <c r="B94" s="19">
        <f>--(Raw_Data!B94="Yes")</f>
        <v>0</v>
      </c>
    </row>
    <row r="95" spans="1:2">
      <c r="A95" s="19">
        <f>Raw_Data!J95</f>
        <v>124</v>
      </c>
      <c r="B95" s="19">
        <f>--(Raw_Data!B95="Yes")</f>
        <v>0</v>
      </c>
    </row>
    <row r="96" spans="1:2">
      <c r="A96" s="19">
        <f>Raw_Data!J96</f>
        <v>125</v>
      </c>
      <c r="B96" s="19">
        <f>--(Raw_Data!B96="Yes")</f>
        <v>0</v>
      </c>
    </row>
    <row r="97" spans="1:2">
      <c r="A97" s="19">
        <f>Raw_Data!J97</f>
        <v>126</v>
      </c>
      <c r="B97" s="19">
        <f>--(Raw_Data!B97="Yes")</f>
        <v>0</v>
      </c>
    </row>
    <row r="98" spans="1:2">
      <c r="A98" s="19">
        <f>Raw_Data!J98</f>
        <v>128</v>
      </c>
      <c r="B98" s="19">
        <f>--(Raw_Data!B98="Yes")</f>
        <v>0</v>
      </c>
    </row>
    <row r="99" spans="1:2">
      <c r="A99" s="19">
        <f>Raw_Data!J99</f>
        <v>129</v>
      </c>
      <c r="B99" s="19">
        <f>--(Raw_Data!B99="Yes")</f>
        <v>0</v>
      </c>
    </row>
    <row r="100" spans="1:2">
      <c r="A100" s="19">
        <f>Raw_Data!J100</f>
        <v>131</v>
      </c>
      <c r="B100" s="19">
        <f>--(Raw_Data!B100="Yes")</f>
        <v>0</v>
      </c>
    </row>
    <row r="101" spans="1:2">
      <c r="A101" s="19">
        <f>Raw_Data!J101</f>
        <v>132</v>
      </c>
      <c r="B101" s="19">
        <f>--(Raw_Data!B101="Yes")</f>
        <v>0</v>
      </c>
    </row>
    <row r="102" spans="1:2">
      <c r="A102" s="19">
        <f>Raw_Data!J102</f>
        <v>133</v>
      </c>
      <c r="B102" s="19">
        <f>--(Raw_Data!B102="Yes")</f>
        <v>1</v>
      </c>
    </row>
    <row r="103" spans="1:2">
      <c r="A103" s="19">
        <f>Raw_Data!J103</f>
        <v>134</v>
      </c>
      <c r="B103" s="19">
        <f>--(Raw_Data!B103="Yes")</f>
        <v>0</v>
      </c>
    </row>
    <row r="104" spans="1:2">
      <c r="A104" s="19">
        <f>Raw_Data!J104</f>
        <v>137</v>
      </c>
      <c r="B104" s="19">
        <f>--(Raw_Data!B104="Yes")</f>
        <v>1</v>
      </c>
    </row>
    <row r="105" spans="1:2">
      <c r="A105" s="19">
        <f>Raw_Data!J105</f>
        <v>138</v>
      </c>
      <c r="B105" s="19">
        <f>--(Raw_Data!B105="Yes")</f>
        <v>0</v>
      </c>
    </row>
    <row r="106" spans="1:2">
      <c r="A106" s="19">
        <f>Raw_Data!J106</f>
        <v>139</v>
      </c>
      <c r="B106" s="19">
        <f>--(Raw_Data!B106="Yes")</f>
        <v>0</v>
      </c>
    </row>
    <row r="107" spans="1:2">
      <c r="A107" s="19">
        <f>Raw_Data!J107</f>
        <v>140</v>
      </c>
      <c r="B107" s="19">
        <f>--(Raw_Data!B107="Yes")</f>
        <v>0</v>
      </c>
    </row>
    <row r="108" spans="1:2">
      <c r="A108" s="19">
        <f>Raw_Data!J108</f>
        <v>141</v>
      </c>
      <c r="B108" s="19">
        <f>--(Raw_Data!B108="Yes")</f>
        <v>0</v>
      </c>
    </row>
    <row r="109" spans="1:2">
      <c r="A109" s="19">
        <f>Raw_Data!J109</f>
        <v>142</v>
      </c>
      <c r="B109" s="19">
        <f>--(Raw_Data!B109="Yes")</f>
        <v>1</v>
      </c>
    </row>
    <row r="110" spans="1:2">
      <c r="A110" s="19">
        <f>Raw_Data!J110</f>
        <v>143</v>
      </c>
      <c r="B110" s="19">
        <f>--(Raw_Data!B110="Yes")</f>
        <v>0</v>
      </c>
    </row>
    <row r="111" spans="1:2">
      <c r="A111" s="19">
        <f>Raw_Data!J111</f>
        <v>144</v>
      </c>
      <c r="B111" s="19">
        <f>--(Raw_Data!B111="Yes")</f>
        <v>0</v>
      </c>
    </row>
    <row r="112" spans="1:2">
      <c r="A112" s="19">
        <f>Raw_Data!J112</f>
        <v>145</v>
      </c>
      <c r="B112" s="19">
        <f>--(Raw_Data!B112="Yes")</f>
        <v>0</v>
      </c>
    </row>
    <row r="113" spans="1:2">
      <c r="A113" s="19">
        <f>Raw_Data!J113</f>
        <v>147</v>
      </c>
      <c r="B113" s="19">
        <f>--(Raw_Data!B113="Yes")</f>
        <v>1</v>
      </c>
    </row>
    <row r="114" spans="1:2">
      <c r="A114" s="19">
        <f>Raw_Data!J114</f>
        <v>148</v>
      </c>
      <c r="B114" s="19">
        <f>--(Raw_Data!B114="Yes")</f>
        <v>0</v>
      </c>
    </row>
    <row r="115" spans="1:2">
      <c r="A115" s="19">
        <f>Raw_Data!J115</f>
        <v>150</v>
      </c>
      <c r="B115" s="19">
        <f>--(Raw_Data!B115="Yes")</f>
        <v>0</v>
      </c>
    </row>
    <row r="116" spans="1:2">
      <c r="A116" s="19">
        <f>Raw_Data!J116</f>
        <v>151</v>
      </c>
      <c r="B116" s="19">
        <f>--(Raw_Data!B116="Yes")</f>
        <v>0</v>
      </c>
    </row>
    <row r="117" spans="1:2">
      <c r="A117" s="19">
        <f>Raw_Data!J117</f>
        <v>152</v>
      </c>
      <c r="B117" s="19">
        <f>--(Raw_Data!B117="Yes")</f>
        <v>0</v>
      </c>
    </row>
    <row r="118" spans="1:2">
      <c r="A118" s="19">
        <f>Raw_Data!J118</f>
        <v>153</v>
      </c>
      <c r="B118" s="19">
        <f>--(Raw_Data!B118="Yes")</f>
        <v>0</v>
      </c>
    </row>
    <row r="119" spans="1:2">
      <c r="A119" s="19">
        <f>Raw_Data!J119</f>
        <v>154</v>
      </c>
      <c r="B119" s="19">
        <f>--(Raw_Data!B119="Yes")</f>
        <v>0</v>
      </c>
    </row>
    <row r="120" spans="1:2">
      <c r="A120" s="19">
        <f>Raw_Data!J120</f>
        <v>155</v>
      </c>
      <c r="B120" s="19">
        <f>--(Raw_Data!B120="Yes")</f>
        <v>0</v>
      </c>
    </row>
    <row r="121" spans="1:2">
      <c r="A121" s="19">
        <f>Raw_Data!J121</f>
        <v>158</v>
      </c>
      <c r="B121" s="19">
        <f>--(Raw_Data!B121="Yes")</f>
        <v>0</v>
      </c>
    </row>
    <row r="122" spans="1:2">
      <c r="A122" s="19">
        <f>Raw_Data!J122</f>
        <v>159</v>
      </c>
      <c r="B122" s="19">
        <f>--(Raw_Data!B122="Yes")</f>
        <v>0</v>
      </c>
    </row>
    <row r="123" spans="1:2">
      <c r="A123" s="19">
        <f>Raw_Data!J123</f>
        <v>160</v>
      </c>
      <c r="B123" s="19">
        <f>--(Raw_Data!B123="Yes")</f>
        <v>0</v>
      </c>
    </row>
    <row r="124" spans="1:2">
      <c r="A124" s="19">
        <f>Raw_Data!J124</f>
        <v>161</v>
      </c>
      <c r="B124" s="19">
        <f>--(Raw_Data!B124="Yes")</f>
        <v>1</v>
      </c>
    </row>
    <row r="125" spans="1:2">
      <c r="A125" s="19">
        <f>Raw_Data!J125</f>
        <v>162</v>
      </c>
      <c r="B125" s="19">
        <f>--(Raw_Data!B125="Yes")</f>
        <v>0</v>
      </c>
    </row>
    <row r="126" spans="1:2">
      <c r="A126" s="19">
        <f>Raw_Data!J126</f>
        <v>163</v>
      </c>
      <c r="B126" s="19">
        <f>--(Raw_Data!B126="Yes")</f>
        <v>1</v>
      </c>
    </row>
    <row r="127" spans="1:2">
      <c r="A127" s="19">
        <f>Raw_Data!J127</f>
        <v>164</v>
      </c>
      <c r="B127" s="19">
        <f>--(Raw_Data!B127="Yes")</f>
        <v>0</v>
      </c>
    </row>
    <row r="128" spans="1:2">
      <c r="A128" s="19">
        <f>Raw_Data!J128</f>
        <v>165</v>
      </c>
      <c r="B128" s="19">
        <f>--(Raw_Data!B128="Yes")</f>
        <v>1</v>
      </c>
    </row>
    <row r="129" spans="1:2">
      <c r="A129" s="19">
        <f>Raw_Data!J129</f>
        <v>167</v>
      </c>
      <c r="B129" s="19">
        <f>--(Raw_Data!B129="Yes")</f>
        <v>1</v>
      </c>
    </row>
    <row r="130" spans="1:2">
      <c r="A130" s="19">
        <f>Raw_Data!J130</f>
        <v>169</v>
      </c>
      <c r="B130" s="19">
        <f>--(Raw_Data!B130="Yes")</f>
        <v>0</v>
      </c>
    </row>
    <row r="131" spans="1:2">
      <c r="A131" s="19">
        <f>Raw_Data!J131</f>
        <v>170</v>
      </c>
      <c r="B131" s="19">
        <f>--(Raw_Data!B131="Yes")</f>
        <v>0</v>
      </c>
    </row>
    <row r="132" spans="1:2">
      <c r="A132" s="19">
        <f>Raw_Data!J132</f>
        <v>171</v>
      </c>
      <c r="B132" s="19">
        <f>--(Raw_Data!B132="Yes")</f>
        <v>0</v>
      </c>
    </row>
    <row r="133" spans="1:2">
      <c r="A133" s="19">
        <f>Raw_Data!J133</f>
        <v>174</v>
      </c>
      <c r="B133" s="19">
        <f>--(Raw_Data!B133="Yes")</f>
        <v>0</v>
      </c>
    </row>
    <row r="134" spans="1:2">
      <c r="A134" s="19">
        <f>Raw_Data!J134</f>
        <v>175</v>
      </c>
      <c r="B134" s="19">
        <f>--(Raw_Data!B134="Yes")</f>
        <v>1</v>
      </c>
    </row>
    <row r="135" spans="1:2">
      <c r="A135" s="19">
        <f>Raw_Data!J135</f>
        <v>176</v>
      </c>
      <c r="B135" s="19">
        <f>--(Raw_Data!B135="Yes")</f>
        <v>0</v>
      </c>
    </row>
    <row r="136" spans="1:2">
      <c r="A136" s="19">
        <f>Raw_Data!J136</f>
        <v>177</v>
      </c>
      <c r="B136" s="19">
        <f>--(Raw_Data!B136="Yes")</f>
        <v>0</v>
      </c>
    </row>
    <row r="137" spans="1:2">
      <c r="A137" s="19">
        <f>Raw_Data!J137</f>
        <v>178</v>
      </c>
      <c r="B137" s="19">
        <f>--(Raw_Data!B137="Yes")</f>
        <v>0</v>
      </c>
    </row>
    <row r="138" spans="1:2">
      <c r="A138" s="19">
        <f>Raw_Data!J138</f>
        <v>179</v>
      </c>
      <c r="B138" s="19">
        <f>--(Raw_Data!B138="Yes")</f>
        <v>1</v>
      </c>
    </row>
    <row r="139" spans="1:2">
      <c r="A139" s="19">
        <f>Raw_Data!J139</f>
        <v>182</v>
      </c>
      <c r="B139" s="19">
        <f>--(Raw_Data!B139="Yes")</f>
        <v>0</v>
      </c>
    </row>
    <row r="140" spans="1:2">
      <c r="A140" s="19">
        <f>Raw_Data!J140</f>
        <v>183</v>
      </c>
      <c r="B140" s="19">
        <f>--(Raw_Data!B140="Yes")</f>
        <v>0</v>
      </c>
    </row>
    <row r="141" spans="1:2">
      <c r="A141" s="19">
        <f>Raw_Data!J141</f>
        <v>184</v>
      </c>
      <c r="B141" s="19">
        <f>--(Raw_Data!B141="Yes")</f>
        <v>0</v>
      </c>
    </row>
    <row r="142" spans="1:2">
      <c r="A142" s="19">
        <f>Raw_Data!J142</f>
        <v>190</v>
      </c>
      <c r="B142" s="19">
        <f>--(Raw_Data!B142="Yes")</f>
        <v>1</v>
      </c>
    </row>
    <row r="143" spans="1:2">
      <c r="A143" s="19">
        <f>Raw_Data!J143</f>
        <v>192</v>
      </c>
      <c r="B143" s="19">
        <f>--(Raw_Data!B143="Yes")</f>
        <v>0</v>
      </c>
    </row>
    <row r="144" spans="1:2">
      <c r="A144" s="19">
        <f>Raw_Data!J144</f>
        <v>193</v>
      </c>
      <c r="B144" s="19">
        <f>--(Raw_Data!B144="Yes")</f>
        <v>0</v>
      </c>
    </row>
    <row r="145" spans="1:2">
      <c r="A145" s="19">
        <f>Raw_Data!J145</f>
        <v>194</v>
      </c>
      <c r="B145" s="19">
        <f>--(Raw_Data!B145="Yes")</f>
        <v>0</v>
      </c>
    </row>
    <row r="146" spans="1:2">
      <c r="A146" s="19">
        <f>Raw_Data!J146</f>
        <v>195</v>
      </c>
      <c r="B146" s="19">
        <f>--(Raw_Data!B146="Yes")</f>
        <v>0</v>
      </c>
    </row>
    <row r="147" spans="1:2">
      <c r="A147" s="19">
        <f>Raw_Data!J147</f>
        <v>197</v>
      </c>
      <c r="B147" s="19">
        <f>--(Raw_Data!B147="Yes")</f>
        <v>0</v>
      </c>
    </row>
    <row r="148" spans="1:2">
      <c r="A148" s="19">
        <f>Raw_Data!J148</f>
        <v>198</v>
      </c>
      <c r="B148" s="19">
        <f>--(Raw_Data!B148="Yes")</f>
        <v>0</v>
      </c>
    </row>
    <row r="149" spans="1:2">
      <c r="A149" s="19">
        <f>Raw_Data!J149</f>
        <v>199</v>
      </c>
      <c r="B149" s="19">
        <f>--(Raw_Data!B149="Yes")</f>
        <v>0</v>
      </c>
    </row>
    <row r="150" spans="1:2">
      <c r="A150" s="19">
        <f>Raw_Data!J150</f>
        <v>200</v>
      </c>
      <c r="B150" s="19">
        <f>--(Raw_Data!B150="Yes")</f>
        <v>0</v>
      </c>
    </row>
    <row r="151" spans="1:2">
      <c r="A151" s="19">
        <f>Raw_Data!J151</f>
        <v>201</v>
      </c>
      <c r="B151" s="19">
        <f>--(Raw_Data!B151="Yes")</f>
        <v>0</v>
      </c>
    </row>
    <row r="152" spans="1:2">
      <c r="A152" s="19">
        <f>Raw_Data!J152</f>
        <v>202</v>
      </c>
      <c r="B152" s="19">
        <f>--(Raw_Data!B152="Yes")</f>
        <v>0</v>
      </c>
    </row>
    <row r="153" spans="1:2">
      <c r="A153" s="19">
        <f>Raw_Data!J153</f>
        <v>204</v>
      </c>
      <c r="B153" s="19">
        <f>--(Raw_Data!B153="Yes")</f>
        <v>0</v>
      </c>
    </row>
    <row r="154" spans="1:2">
      <c r="A154" s="19">
        <f>Raw_Data!J154</f>
        <v>205</v>
      </c>
      <c r="B154" s="19">
        <f>--(Raw_Data!B154="Yes")</f>
        <v>0</v>
      </c>
    </row>
    <row r="155" spans="1:2">
      <c r="A155" s="19">
        <f>Raw_Data!J155</f>
        <v>206</v>
      </c>
      <c r="B155" s="19">
        <f>--(Raw_Data!B155="Yes")</f>
        <v>0</v>
      </c>
    </row>
    <row r="156" spans="1:2">
      <c r="A156" s="19">
        <f>Raw_Data!J156</f>
        <v>207</v>
      </c>
      <c r="B156" s="19">
        <f>--(Raw_Data!B156="Yes")</f>
        <v>0</v>
      </c>
    </row>
    <row r="157" spans="1:2">
      <c r="A157" s="19">
        <f>Raw_Data!J157</f>
        <v>208</v>
      </c>
      <c r="B157" s="19">
        <f>--(Raw_Data!B157="Yes")</f>
        <v>0</v>
      </c>
    </row>
    <row r="158" spans="1:2">
      <c r="A158" s="19">
        <f>Raw_Data!J158</f>
        <v>211</v>
      </c>
      <c r="B158" s="19">
        <f>--(Raw_Data!B158="Yes")</f>
        <v>0</v>
      </c>
    </row>
    <row r="159" spans="1:2">
      <c r="A159" s="19">
        <f>Raw_Data!J159</f>
        <v>214</v>
      </c>
      <c r="B159" s="19">
        <f>--(Raw_Data!B159="Yes")</f>
        <v>0</v>
      </c>
    </row>
    <row r="160" spans="1:2">
      <c r="A160" s="19">
        <f>Raw_Data!J160</f>
        <v>215</v>
      </c>
      <c r="B160" s="19">
        <f>--(Raw_Data!B160="Yes")</f>
        <v>0</v>
      </c>
    </row>
    <row r="161" spans="1:2">
      <c r="A161" s="19">
        <f>Raw_Data!J161</f>
        <v>216</v>
      </c>
      <c r="B161" s="19">
        <f>--(Raw_Data!B161="Yes")</f>
        <v>0</v>
      </c>
    </row>
    <row r="162" spans="1:2">
      <c r="A162" s="19">
        <f>Raw_Data!J162</f>
        <v>217</v>
      </c>
      <c r="B162" s="19">
        <f>--(Raw_Data!B162="Yes")</f>
        <v>0</v>
      </c>
    </row>
    <row r="163" spans="1:2">
      <c r="A163" s="19">
        <f>Raw_Data!J163</f>
        <v>218</v>
      </c>
      <c r="B163" s="19">
        <f>--(Raw_Data!B163="Yes")</f>
        <v>0</v>
      </c>
    </row>
    <row r="164" spans="1:2">
      <c r="A164" s="19">
        <f>Raw_Data!J164</f>
        <v>221</v>
      </c>
      <c r="B164" s="19">
        <f>--(Raw_Data!B164="Yes")</f>
        <v>0</v>
      </c>
    </row>
    <row r="165" spans="1:2">
      <c r="A165" s="19">
        <f>Raw_Data!J165</f>
        <v>223</v>
      </c>
      <c r="B165" s="19">
        <f>--(Raw_Data!B165="Yes")</f>
        <v>0</v>
      </c>
    </row>
    <row r="166" spans="1:2">
      <c r="A166" s="19">
        <f>Raw_Data!J166</f>
        <v>224</v>
      </c>
      <c r="B166" s="19">
        <f>--(Raw_Data!B166="Yes")</f>
        <v>0</v>
      </c>
    </row>
    <row r="167" spans="1:2">
      <c r="A167" s="19">
        <f>Raw_Data!J167</f>
        <v>226</v>
      </c>
      <c r="B167" s="19">
        <f>--(Raw_Data!B167="Yes")</f>
        <v>0</v>
      </c>
    </row>
    <row r="168" spans="1:2">
      <c r="A168" s="19">
        <f>Raw_Data!J168</f>
        <v>227</v>
      </c>
      <c r="B168" s="19">
        <f>--(Raw_Data!B168="Yes")</f>
        <v>0</v>
      </c>
    </row>
    <row r="169" spans="1:2">
      <c r="A169" s="19">
        <f>Raw_Data!J169</f>
        <v>228</v>
      </c>
      <c r="B169" s="19">
        <f>--(Raw_Data!B169="Yes")</f>
        <v>0</v>
      </c>
    </row>
    <row r="170" spans="1:2">
      <c r="A170" s="19">
        <f>Raw_Data!J170</f>
        <v>230</v>
      </c>
      <c r="B170" s="19">
        <f>--(Raw_Data!B170="Yes")</f>
        <v>0</v>
      </c>
    </row>
    <row r="171" spans="1:2">
      <c r="A171" s="19">
        <f>Raw_Data!J171</f>
        <v>231</v>
      </c>
      <c r="B171" s="19">
        <f>--(Raw_Data!B171="Yes")</f>
        <v>0</v>
      </c>
    </row>
    <row r="172" spans="1:2">
      <c r="A172" s="19">
        <f>Raw_Data!J172</f>
        <v>233</v>
      </c>
      <c r="B172" s="19">
        <f>--(Raw_Data!B172="Yes")</f>
        <v>0</v>
      </c>
    </row>
    <row r="173" spans="1:2">
      <c r="A173" s="19">
        <f>Raw_Data!J173</f>
        <v>235</v>
      </c>
      <c r="B173" s="19">
        <f>--(Raw_Data!B173="Yes")</f>
        <v>1</v>
      </c>
    </row>
    <row r="174" spans="1:2">
      <c r="A174" s="19">
        <f>Raw_Data!J174</f>
        <v>238</v>
      </c>
      <c r="B174" s="19">
        <f>--(Raw_Data!B174="Yes")</f>
        <v>0</v>
      </c>
    </row>
    <row r="175" spans="1:2">
      <c r="A175" s="19">
        <f>Raw_Data!J175</f>
        <v>239</v>
      </c>
      <c r="B175" s="19">
        <f>--(Raw_Data!B175="Yes")</f>
        <v>0</v>
      </c>
    </row>
    <row r="176" spans="1:2">
      <c r="A176" s="19">
        <f>Raw_Data!J176</f>
        <v>240</v>
      </c>
      <c r="B176" s="19">
        <f>--(Raw_Data!B176="Yes")</f>
        <v>0</v>
      </c>
    </row>
    <row r="177" spans="1:2">
      <c r="A177" s="19">
        <f>Raw_Data!J177</f>
        <v>241</v>
      </c>
      <c r="B177" s="19">
        <f>--(Raw_Data!B177="Yes")</f>
        <v>0</v>
      </c>
    </row>
    <row r="178" spans="1:2">
      <c r="A178" s="19">
        <f>Raw_Data!J178</f>
        <v>242</v>
      </c>
      <c r="B178" s="19">
        <f>--(Raw_Data!B178="Yes")</f>
        <v>0</v>
      </c>
    </row>
    <row r="179" spans="1:2">
      <c r="A179" s="19">
        <f>Raw_Data!J179</f>
        <v>243</v>
      </c>
      <c r="B179" s="19">
        <f>--(Raw_Data!B179="Yes")</f>
        <v>1</v>
      </c>
    </row>
    <row r="180" spans="1:2">
      <c r="A180" s="19">
        <f>Raw_Data!J180</f>
        <v>244</v>
      </c>
      <c r="B180" s="19">
        <f>--(Raw_Data!B180="Yes")</f>
        <v>0</v>
      </c>
    </row>
    <row r="181" spans="1:2">
      <c r="A181" s="19">
        <f>Raw_Data!J181</f>
        <v>245</v>
      </c>
      <c r="B181" s="19">
        <f>--(Raw_Data!B181="Yes")</f>
        <v>0</v>
      </c>
    </row>
    <row r="182" spans="1:2">
      <c r="A182" s="19">
        <f>Raw_Data!J182</f>
        <v>246</v>
      </c>
      <c r="B182" s="19">
        <f>--(Raw_Data!B182="Yes")</f>
        <v>0</v>
      </c>
    </row>
    <row r="183" spans="1:2">
      <c r="A183" s="19">
        <f>Raw_Data!J183</f>
        <v>247</v>
      </c>
      <c r="B183" s="19">
        <f>--(Raw_Data!B183="Yes")</f>
        <v>0</v>
      </c>
    </row>
    <row r="184" spans="1:2">
      <c r="A184" s="19">
        <f>Raw_Data!J184</f>
        <v>248</v>
      </c>
      <c r="B184" s="19">
        <f>--(Raw_Data!B184="Yes")</f>
        <v>1</v>
      </c>
    </row>
    <row r="185" spans="1:2">
      <c r="A185" s="19">
        <f>Raw_Data!J185</f>
        <v>249</v>
      </c>
      <c r="B185" s="19">
        <f>--(Raw_Data!B185="Yes")</f>
        <v>0</v>
      </c>
    </row>
    <row r="186" spans="1:2">
      <c r="A186" s="19">
        <f>Raw_Data!J186</f>
        <v>250</v>
      </c>
      <c r="B186" s="19">
        <f>--(Raw_Data!B186="Yes")</f>
        <v>0</v>
      </c>
    </row>
    <row r="187" spans="1:2">
      <c r="A187" s="19">
        <f>Raw_Data!J187</f>
        <v>252</v>
      </c>
      <c r="B187" s="19">
        <f>--(Raw_Data!B187="Yes")</f>
        <v>0</v>
      </c>
    </row>
    <row r="188" spans="1:2">
      <c r="A188" s="19">
        <f>Raw_Data!J188</f>
        <v>253</v>
      </c>
      <c r="B188" s="19">
        <f>--(Raw_Data!B188="Yes")</f>
        <v>0</v>
      </c>
    </row>
    <row r="189" spans="1:2">
      <c r="A189" s="19">
        <f>Raw_Data!J189</f>
        <v>254</v>
      </c>
      <c r="B189" s="19">
        <f>--(Raw_Data!B189="Yes")</f>
        <v>0</v>
      </c>
    </row>
    <row r="190" spans="1:2">
      <c r="A190" s="19">
        <f>Raw_Data!J190</f>
        <v>256</v>
      </c>
      <c r="B190" s="19">
        <f>--(Raw_Data!B190="Yes")</f>
        <v>0</v>
      </c>
    </row>
    <row r="191" spans="1:2">
      <c r="A191" s="19">
        <f>Raw_Data!J191</f>
        <v>258</v>
      </c>
      <c r="B191" s="19">
        <f>--(Raw_Data!B191="Yes")</f>
        <v>0</v>
      </c>
    </row>
    <row r="192" spans="1:2">
      <c r="A192" s="19">
        <f>Raw_Data!J192</f>
        <v>259</v>
      </c>
      <c r="B192" s="19">
        <f>--(Raw_Data!B192="Yes")</f>
        <v>0</v>
      </c>
    </row>
    <row r="193" spans="1:2">
      <c r="A193" s="19">
        <f>Raw_Data!J193</f>
        <v>260</v>
      </c>
      <c r="B193" s="19">
        <f>--(Raw_Data!B193="Yes")</f>
        <v>0</v>
      </c>
    </row>
    <row r="194" spans="1:2">
      <c r="A194" s="19">
        <f>Raw_Data!J194</f>
        <v>261</v>
      </c>
      <c r="B194" s="19">
        <f>--(Raw_Data!B194="Yes")</f>
        <v>1</v>
      </c>
    </row>
    <row r="195" spans="1:2">
      <c r="A195" s="19">
        <f>Raw_Data!J195</f>
        <v>262</v>
      </c>
      <c r="B195" s="19">
        <f>--(Raw_Data!B195="Yes")</f>
        <v>0</v>
      </c>
    </row>
    <row r="196" spans="1:2">
      <c r="A196" s="19">
        <f>Raw_Data!J196</f>
        <v>264</v>
      </c>
      <c r="B196" s="19">
        <f>--(Raw_Data!B196="Yes")</f>
        <v>0</v>
      </c>
    </row>
    <row r="197" spans="1:2">
      <c r="A197" s="19">
        <f>Raw_Data!J197</f>
        <v>267</v>
      </c>
      <c r="B197" s="19">
        <f>--(Raw_Data!B197="Yes")</f>
        <v>0</v>
      </c>
    </row>
    <row r="198" spans="1:2">
      <c r="A198" s="19">
        <f>Raw_Data!J198</f>
        <v>269</v>
      </c>
      <c r="B198" s="19">
        <f>--(Raw_Data!B198="Yes")</f>
        <v>0</v>
      </c>
    </row>
    <row r="199" spans="1:2">
      <c r="A199" s="19">
        <f>Raw_Data!J199</f>
        <v>270</v>
      </c>
      <c r="B199" s="19">
        <f>--(Raw_Data!B199="Yes")</f>
        <v>0</v>
      </c>
    </row>
    <row r="200" spans="1:2">
      <c r="A200" s="19">
        <f>Raw_Data!J200</f>
        <v>271</v>
      </c>
      <c r="B200" s="19">
        <f>--(Raw_Data!B200="Yes")</f>
        <v>0</v>
      </c>
    </row>
    <row r="201" spans="1:2">
      <c r="A201" s="19">
        <f>Raw_Data!J201</f>
        <v>273</v>
      </c>
      <c r="B201" s="19">
        <f>--(Raw_Data!B201="Yes")</f>
        <v>0</v>
      </c>
    </row>
    <row r="202" spans="1:2">
      <c r="A202" s="19">
        <f>Raw_Data!J202</f>
        <v>274</v>
      </c>
      <c r="B202" s="19">
        <f>--(Raw_Data!B202="Yes")</f>
        <v>0</v>
      </c>
    </row>
    <row r="203" spans="1:2">
      <c r="A203" s="19">
        <f>Raw_Data!J203</f>
        <v>275</v>
      </c>
      <c r="B203" s="19">
        <f>--(Raw_Data!B203="Yes")</f>
        <v>0</v>
      </c>
    </row>
    <row r="204" spans="1:2">
      <c r="A204" s="19">
        <f>Raw_Data!J204</f>
        <v>277</v>
      </c>
      <c r="B204" s="19">
        <f>--(Raw_Data!B204="Yes")</f>
        <v>0</v>
      </c>
    </row>
    <row r="205" spans="1:2">
      <c r="A205" s="19">
        <f>Raw_Data!J205</f>
        <v>281</v>
      </c>
      <c r="B205" s="19">
        <f>--(Raw_Data!B205="Yes")</f>
        <v>0</v>
      </c>
    </row>
    <row r="206" spans="1:2">
      <c r="A206" s="19">
        <f>Raw_Data!J206</f>
        <v>282</v>
      </c>
      <c r="B206" s="19">
        <f>--(Raw_Data!B206="Yes")</f>
        <v>1</v>
      </c>
    </row>
    <row r="207" spans="1:2">
      <c r="A207" s="19">
        <f>Raw_Data!J207</f>
        <v>283</v>
      </c>
      <c r="B207" s="19">
        <f>--(Raw_Data!B207="Yes")</f>
        <v>1</v>
      </c>
    </row>
    <row r="208" spans="1:2">
      <c r="A208" s="19">
        <f>Raw_Data!J208</f>
        <v>284</v>
      </c>
      <c r="B208" s="19">
        <f>--(Raw_Data!B208="Yes")</f>
        <v>0</v>
      </c>
    </row>
    <row r="209" spans="1:2">
      <c r="A209" s="19">
        <f>Raw_Data!J209</f>
        <v>286</v>
      </c>
      <c r="B209" s="19">
        <f>--(Raw_Data!B209="Yes")</f>
        <v>0</v>
      </c>
    </row>
    <row r="210" spans="1:2">
      <c r="A210" s="19">
        <f>Raw_Data!J210</f>
        <v>287</v>
      </c>
      <c r="B210" s="19">
        <f>--(Raw_Data!B210="Yes")</f>
        <v>0</v>
      </c>
    </row>
    <row r="211" spans="1:2">
      <c r="A211" s="19">
        <f>Raw_Data!J211</f>
        <v>288</v>
      </c>
      <c r="B211" s="19">
        <f>--(Raw_Data!B211="Yes")</f>
        <v>0</v>
      </c>
    </row>
    <row r="212" spans="1:2">
      <c r="A212" s="19">
        <f>Raw_Data!J212</f>
        <v>291</v>
      </c>
      <c r="B212" s="19">
        <f>--(Raw_Data!B212="Yes")</f>
        <v>1</v>
      </c>
    </row>
    <row r="213" spans="1:2">
      <c r="A213" s="19">
        <f>Raw_Data!J213</f>
        <v>292</v>
      </c>
      <c r="B213" s="19">
        <f>--(Raw_Data!B213="Yes")</f>
        <v>0</v>
      </c>
    </row>
    <row r="214" spans="1:2">
      <c r="A214" s="19">
        <f>Raw_Data!J214</f>
        <v>293</v>
      </c>
      <c r="B214" s="19">
        <f>--(Raw_Data!B214="Yes")</f>
        <v>0</v>
      </c>
    </row>
    <row r="215" spans="1:2">
      <c r="A215" s="19">
        <f>Raw_Data!J215</f>
        <v>296</v>
      </c>
      <c r="B215" s="19">
        <f>--(Raw_Data!B215="Yes")</f>
        <v>0</v>
      </c>
    </row>
    <row r="216" spans="1:2">
      <c r="A216" s="19">
        <f>Raw_Data!J216</f>
        <v>297</v>
      </c>
      <c r="B216" s="19">
        <f>--(Raw_Data!B216="Yes")</f>
        <v>1</v>
      </c>
    </row>
    <row r="217" spans="1:2">
      <c r="A217" s="19">
        <f>Raw_Data!J217</f>
        <v>298</v>
      </c>
      <c r="B217" s="19">
        <f>--(Raw_Data!B217="Yes")</f>
        <v>0</v>
      </c>
    </row>
    <row r="218" spans="1:2">
      <c r="A218" s="19">
        <f>Raw_Data!J218</f>
        <v>299</v>
      </c>
      <c r="B218" s="19">
        <f>--(Raw_Data!B218="Yes")</f>
        <v>1</v>
      </c>
    </row>
    <row r="219" spans="1:2">
      <c r="A219" s="19">
        <f>Raw_Data!J219</f>
        <v>300</v>
      </c>
      <c r="B219" s="19">
        <f>--(Raw_Data!B219="Yes")</f>
        <v>1</v>
      </c>
    </row>
    <row r="220" spans="1:2">
      <c r="A220" s="19">
        <f>Raw_Data!J220</f>
        <v>302</v>
      </c>
      <c r="B220" s="19">
        <f>--(Raw_Data!B220="Yes")</f>
        <v>0</v>
      </c>
    </row>
    <row r="221" spans="1:2">
      <c r="A221" s="19">
        <f>Raw_Data!J221</f>
        <v>303</v>
      </c>
      <c r="B221" s="19">
        <f>--(Raw_Data!B221="Yes")</f>
        <v>0</v>
      </c>
    </row>
    <row r="222" spans="1:2">
      <c r="A222" s="19">
        <f>Raw_Data!J222</f>
        <v>304</v>
      </c>
      <c r="B222" s="19">
        <f>--(Raw_Data!B222="Yes")</f>
        <v>0</v>
      </c>
    </row>
    <row r="223" spans="1:2">
      <c r="A223" s="19">
        <f>Raw_Data!J223</f>
        <v>305</v>
      </c>
      <c r="B223" s="19">
        <f>--(Raw_Data!B223="Yes")</f>
        <v>0</v>
      </c>
    </row>
    <row r="224" spans="1:2">
      <c r="A224" s="19">
        <f>Raw_Data!J224</f>
        <v>306</v>
      </c>
      <c r="B224" s="19">
        <f>--(Raw_Data!B224="Yes")</f>
        <v>0</v>
      </c>
    </row>
    <row r="225" spans="1:2">
      <c r="A225" s="19">
        <f>Raw_Data!J225</f>
        <v>307</v>
      </c>
      <c r="B225" s="19">
        <f>--(Raw_Data!B225="Yes")</f>
        <v>0</v>
      </c>
    </row>
    <row r="226" spans="1:2">
      <c r="A226" s="19">
        <f>Raw_Data!J226</f>
        <v>308</v>
      </c>
      <c r="B226" s="19">
        <f>--(Raw_Data!B226="Yes")</f>
        <v>0</v>
      </c>
    </row>
    <row r="227" spans="1:2">
      <c r="A227" s="19">
        <f>Raw_Data!J227</f>
        <v>309</v>
      </c>
      <c r="B227" s="19">
        <f>--(Raw_Data!B227="Yes")</f>
        <v>0</v>
      </c>
    </row>
    <row r="228" spans="1:2">
      <c r="A228" s="19">
        <f>Raw_Data!J228</f>
        <v>311</v>
      </c>
      <c r="B228" s="19">
        <f>--(Raw_Data!B228="Yes")</f>
        <v>0</v>
      </c>
    </row>
    <row r="229" spans="1:2">
      <c r="A229" s="19">
        <f>Raw_Data!J229</f>
        <v>312</v>
      </c>
      <c r="B229" s="19">
        <f>--(Raw_Data!B229="Yes")</f>
        <v>0</v>
      </c>
    </row>
    <row r="230" spans="1:2">
      <c r="A230" s="19">
        <f>Raw_Data!J230</f>
        <v>314</v>
      </c>
      <c r="B230" s="19">
        <f>--(Raw_Data!B230="Yes")</f>
        <v>0</v>
      </c>
    </row>
    <row r="231" spans="1:2">
      <c r="A231" s="19">
        <f>Raw_Data!J231</f>
        <v>315</v>
      </c>
      <c r="B231" s="19">
        <f>--(Raw_Data!B231="Yes")</f>
        <v>1</v>
      </c>
    </row>
    <row r="232" spans="1:2">
      <c r="A232" s="19">
        <f>Raw_Data!J232</f>
        <v>316</v>
      </c>
      <c r="B232" s="19">
        <f>--(Raw_Data!B232="Yes")</f>
        <v>0</v>
      </c>
    </row>
    <row r="233" spans="1:2">
      <c r="A233" s="19">
        <f>Raw_Data!J233</f>
        <v>319</v>
      </c>
      <c r="B233" s="19">
        <f>--(Raw_Data!B233="Yes")</f>
        <v>0</v>
      </c>
    </row>
    <row r="234" spans="1:2">
      <c r="A234" s="19">
        <f>Raw_Data!J234</f>
        <v>321</v>
      </c>
      <c r="B234" s="19">
        <f>--(Raw_Data!B234="Yes")</f>
        <v>0</v>
      </c>
    </row>
    <row r="235" spans="1:2">
      <c r="A235" s="19">
        <f>Raw_Data!J235</f>
        <v>323</v>
      </c>
      <c r="B235" s="19">
        <f>--(Raw_Data!B235="Yes")</f>
        <v>0</v>
      </c>
    </row>
    <row r="236" spans="1:2">
      <c r="A236" s="19">
        <f>Raw_Data!J236</f>
        <v>325</v>
      </c>
      <c r="B236" s="19">
        <f>--(Raw_Data!B236="Yes")</f>
        <v>1</v>
      </c>
    </row>
    <row r="237" spans="1:2">
      <c r="A237" s="19">
        <f>Raw_Data!J237</f>
        <v>327</v>
      </c>
      <c r="B237" s="19">
        <f>--(Raw_Data!B237="Yes")</f>
        <v>0</v>
      </c>
    </row>
    <row r="238" spans="1:2">
      <c r="A238" s="19">
        <f>Raw_Data!J238</f>
        <v>328</v>
      </c>
      <c r="B238" s="19">
        <f>--(Raw_Data!B238="Yes")</f>
        <v>1</v>
      </c>
    </row>
    <row r="239" spans="1:2">
      <c r="A239" s="19">
        <f>Raw_Data!J239</f>
        <v>329</v>
      </c>
      <c r="B239" s="19">
        <f>--(Raw_Data!B239="Yes")</f>
        <v>0</v>
      </c>
    </row>
    <row r="240" spans="1:2">
      <c r="A240" s="19">
        <f>Raw_Data!J240</f>
        <v>330</v>
      </c>
      <c r="B240" s="19">
        <f>--(Raw_Data!B240="Yes")</f>
        <v>0</v>
      </c>
    </row>
    <row r="241" spans="1:2">
      <c r="A241" s="19">
        <f>Raw_Data!J241</f>
        <v>331</v>
      </c>
      <c r="B241" s="19">
        <f>--(Raw_Data!B241="Yes")</f>
        <v>1</v>
      </c>
    </row>
    <row r="242" spans="1:2">
      <c r="A242" s="19">
        <f>Raw_Data!J242</f>
        <v>332</v>
      </c>
      <c r="B242" s="19">
        <f>--(Raw_Data!B242="Yes")</f>
        <v>0</v>
      </c>
    </row>
    <row r="243" spans="1:2">
      <c r="A243" s="19">
        <f>Raw_Data!J243</f>
        <v>333</v>
      </c>
      <c r="B243" s="19">
        <f>--(Raw_Data!B243="Yes")</f>
        <v>0</v>
      </c>
    </row>
    <row r="244" spans="1:2">
      <c r="A244" s="19">
        <f>Raw_Data!J244</f>
        <v>334</v>
      </c>
      <c r="B244" s="19">
        <f>--(Raw_Data!B244="Yes")</f>
        <v>0</v>
      </c>
    </row>
    <row r="245" spans="1:2">
      <c r="A245" s="19">
        <f>Raw_Data!J245</f>
        <v>335</v>
      </c>
      <c r="B245" s="19">
        <f>--(Raw_Data!B245="Yes")</f>
        <v>0</v>
      </c>
    </row>
    <row r="246" spans="1:2">
      <c r="A246" s="19">
        <f>Raw_Data!J246</f>
        <v>336</v>
      </c>
      <c r="B246" s="19">
        <f>--(Raw_Data!B246="Yes")</f>
        <v>0</v>
      </c>
    </row>
    <row r="247" spans="1:2">
      <c r="A247" s="19">
        <f>Raw_Data!J247</f>
        <v>337</v>
      </c>
      <c r="B247" s="19">
        <f>--(Raw_Data!B247="Yes")</f>
        <v>0</v>
      </c>
    </row>
    <row r="248" spans="1:2">
      <c r="A248" s="19">
        <f>Raw_Data!J248</f>
        <v>338</v>
      </c>
      <c r="B248" s="19">
        <f>--(Raw_Data!B248="Yes")</f>
        <v>0</v>
      </c>
    </row>
    <row r="249" spans="1:2">
      <c r="A249" s="19">
        <f>Raw_Data!J249</f>
        <v>339</v>
      </c>
      <c r="B249" s="19">
        <f>--(Raw_Data!B249="Yes")</f>
        <v>0</v>
      </c>
    </row>
    <row r="250" spans="1:2">
      <c r="A250" s="19">
        <f>Raw_Data!J250</f>
        <v>340</v>
      </c>
      <c r="B250" s="19">
        <f>--(Raw_Data!B250="Yes")</f>
        <v>0</v>
      </c>
    </row>
    <row r="251" spans="1:2">
      <c r="A251" s="19">
        <f>Raw_Data!J251</f>
        <v>341</v>
      </c>
      <c r="B251" s="19">
        <f>--(Raw_Data!B251="Yes")</f>
        <v>0</v>
      </c>
    </row>
    <row r="252" spans="1:2">
      <c r="A252" s="19">
        <f>Raw_Data!J252</f>
        <v>342</v>
      </c>
      <c r="B252" s="19">
        <f>--(Raw_Data!B252="Yes")</f>
        <v>1</v>
      </c>
    </row>
    <row r="253" spans="1:2">
      <c r="A253" s="19">
        <f>Raw_Data!J253</f>
        <v>343</v>
      </c>
      <c r="B253" s="19">
        <f>--(Raw_Data!B253="Yes")</f>
        <v>0</v>
      </c>
    </row>
    <row r="254" spans="1:2">
      <c r="A254" s="19">
        <f>Raw_Data!J254</f>
        <v>346</v>
      </c>
      <c r="B254" s="19">
        <f>--(Raw_Data!B254="Yes")</f>
        <v>0</v>
      </c>
    </row>
    <row r="255" spans="1:2">
      <c r="A255" s="19">
        <f>Raw_Data!J255</f>
        <v>347</v>
      </c>
      <c r="B255" s="19">
        <f>--(Raw_Data!B255="Yes")</f>
        <v>0</v>
      </c>
    </row>
    <row r="256" spans="1:2">
      <c r="A256" s="19">
        <f>Raw_Data!J256</f>
        <v>349</v>
      </c>
      <c r="B256" s="19">
        <f>--(Raw_Data!B256="Yes")</f>
        <v>0</v>
      </c>
    </row>
    <row r="257" spans="1:2">
      <c r="A257" s="19">
        <f>Raw_Data!J257</f>
        <v>350</v>
      </c>
      <c r="B257" s="19">
        <f>--(Raw_Data!B257="Yes")</f>
        <v>0</v>
      </c>
    </row>
    <row r="258" spans="1:2">
      <c r="A258" s="19">
        <f>Raw_Data!J258</f>
        <v>351</v>
      </c>
      <c r="B258" s="19">
        <f>--(Raw_Data!B258="Yes")</f>
        <v>0</v>
      </c>
    </row>
    <row r="259" spans="1:2">
      <c r="A259" s="19">
        <f>Raw_Data!J259</f>
        <v>352</v>
      </c>
      <c r="B259" s="19">
        <f>--(Raw_Data!B259="Yes")</f>
        <v>0</v>
      </c>
    </row>
    <row r="260" spans="1:2">
      <c r="A260" s="19">
        <f>Raw_Data!J260</f>
        <v>353</v>
      </c>
      <c r="B260" s="19">
        <f>--(Raw_Data!B260="Yes")</f>
        <v>0</v>
      </c>
    </row>
    <row r="261" spans="1:2">
      <c r="A261" s="19">
        <f>Raw_Data!J261</f>
        <v>355</v>
      </c>
      <c r="B261" s="19">
        <f>--(Raw_Data!B261="Yes")</f>
        <v>1</v>
      </c>
    </row>
    <row r="262" spans="1:2">
      <c r="A262" s="19">
        <f>Raw_Data!J262</f>
        <v>359</v>
      </c>
      <c r="B262" s="19">
        <f>--(Raw_Data!B262="Yes")</f>
        <v>0</v>
      </c>
    </row>
    <row r="263" spans="1:2">
      <c r="A263" s="19">
        <f>Raw_Data!J263</f>
        <v>361</v>
      </c>
      <c r="B263" s="19">
        <f>--(Raw_Data!B263="Yes")</f>
        <v>0</v>
      </c>
    </row>
    <row r="264" spans="1:2">
      <c r="A264" s="19">
        <f>Raw_Data!J264</f>
        <v>362</v>
      </c>
      <c r="B264" s="19">
        <f>--(Raw_Data!B264="Yes")</f>
        <v>0</v>
      </c>
    </row>
    <row r="265" spans="1:2">
      <c r="A265" s="19">
        <f>Raw_Data!J265</f>
        <v>363</v>
      </c>
      <c r="B265" s="19">
        <f>--(Raw_Data!B265="Yes")</f>
        <v>0</v>
      </c>
    </row>
    <row r="266" spans="1:2">
      <c r="A266" s="19">
        <f>Raw_Data!J266</f>
        <v>364</v>
      </c>
      <c r="B266" s="19">
        <f>--(Raw_Data!B266="Yes")</f>
        <v>1</v>
      </c>
    </row>
    <row r="267" spans="1:2">
      <c r="A267" s="19">
        <f>Raw_Data!J267</f>
        <v>366</v>
      </c>
      <c r="B267" s="19">
        <f>--(Raw_Data!B267="Yes")</f>
        <v>0</v>
      </c>
    </row>
    <row r="268" spans="1:2">
      <c r="A268" s="19">
        <f>Raw_Data!J268</f>
        <v>367</v>
      </c>
      <c r="B268" s="19">
        <f>--(Raw_Data!B268="Yes")</f>
        <v>0</v>
      </c>
    </row>
    <row r="269" spans="1:2">
      <c r="A269" s="19">
        <f>Raw_Data!J269</f>
        <v>369</v>
      </c>
      <c r="B269" s="19">
        <f>--(Raw_Data!B269="Yes")</f>
        <v>0</v>
      </c>
    </row>
    <row r="270" spans="1:2">
      <c r="A270" s="19">
        <f>Raw_Data!J270</f>
        <v>372</v>
      </c>
      <c r="B270" s="19">
        <f>--(Raw_Data!B270="Yes")</f>
        <v>0</v>
      </c>
    </row>
    <row r="271" spans="1:2">
      <c r="A271" s="19">
        <f>Raw_Data!J271</f>
        <v>373</v>
      </c>
      <c r="B271" s="19">
        <f>--(Raw_Data!B271="Yes")</f>
        <v>0</v>
      </c>
    </row>
    <row r="272" spans="1:2">
      <c r="A272" s="19">
        <f>Raw_Data!J272</f>
        <v>374</v>
      </c>
      <c r="B272" s="19">
        <f>--(Raw_Data!B272="Yes")</f>
        <v>0</v>
      </c>
    </row>
    <row r="273" spans="1:2">
      <c r="A273" s="19">
        <f>Raw_Data!J273</f>
        <v>376</v>
      </c>
      <c r="B273" s="19">
        <f>--(Raw_Data!B273="Yes")</f>
        <v>1</v>
      </c>
    </row>
    <row r="274" spans="1:2">
      <c r="A274" s="19">
        <f>Raw_Data!J274</f>
        <v>377</v>
      </c>
      <c r="B274" s="19">
        <f>--(Raw_Data!B274="Yes")</f>
        <v>0</v>
      </c>
    </row>
    <row r="275" spans="1:2">
      <c r="A275" s="19">
        <f>Raw_Data!J275</f>
        <v>378</v>
      </c>
      <c r="B275" s="19">
        <f>--(Raw_Data!B275="Yes")</f>
        <v>0</v>
      </c>
    </row>
    <row r="276" spans="1:2">
      <c r="A276" s="19">
        <f>Raw_Data!J276</f>
        <v>379</v>
      </c>
      <c r="B276" s="19">
        <f>--(Raw_Data!B276="Yes")</f>
        <v>0</v>
      </c>
    </row>
    <row r="277" spans="1:2">
      <c r="A277" s="19">
        <f>Raw_Data!J277</f>
        <v>380</v>
      </c>
      <c r="B277" s="19">
        <f>--(Raw_Data!B277="Yes")</f>
        <v>0</v>
      </c>
    </row>
    <row r="278" spans="1:2">
      <c r="A278" s="19">
        <f>Raw_Data!J278</f>
        <v>381</v>
      </c>
      <c r="B278" s="19">
        <f>--(Raw_Data!B278="Yes")</f>
        <v>0</v>
      </c>
    </row>
    <row r="279" spans="1:2">
      <c r="A279" s="19">
        <f>Raw_Data!J279</f>
        <v>382</v>
      </c>
      <c r="B279" s="19">
        <f>--(Raw_Data!B279="Yes")</f>
        <v>0</v>
      </c>
    </row>
    <row r="280" spans="1:2">
      <c r="A280" s="19">
        <f>Raw_Data!J280</f>
        <v>384</v>
      </c>
      <c r="B280" s="19">
        <f>--(Raw_Data!B280="Yes")</f>
        <v>0</v>
      </c>
    </row>
    <row r="281" spans="1:2">
      <c r="A281" s="19">
        <f>Raw_Data!J281</f>
        <v>385</v>
      </c>
      <c r="B281" s="19">
        <f>--(Raw_Data!B281="Yes")</f>
        <v>0</v>
      </c>
    </row>
    <row r="282" spans="1:2">
      <c r="A282" s="19">
        <f>Raw_Data!J282</f>
        <v>386</v>
      </c>
      <c r="B282" s="19">
        <f>--(Raw_Data!B282="Yes")</f>
        <v>0</v>
      </c>
    </row>
    <row r="283" spans="1:2">
      <c r="A283" s="19">
        <f>Raw_Data!J283</f>
        <v>387</v>
      </c>
      <c r="B283" s="19">
        <f>--(Raw_Data!B283="Yes")</f>
        <v>0</v>
      </c>
    </row>
    <row r="284" spans="1:2">
      <c r="A284" s="19">
        <f>Raw_Data!J284</f>
        <v>388</v>
      </c>
      <c r="B284" s="19">
        <f>--(Raw_Data!B284="Yes")</f>
        <v>0</v>
      </c>
    </row>
    <row r="285" spans="1:2">
      <c r="A285" s="19">
        <f>Raw_Data!J285</f>
        <v>389</v>
      </c>
      <c r="B285" s="19">
        <f>--(Raw_Data!B285="Yes")</f>
        <v>0</v>
      </c>
    </row>
    <row r="286" spans="1:2">
      <c r="A286" s="19">
        <f>Raw_Data!J286</f>
        <v>390</v>
      </c>
      <c r="B286" s="19">
        <f>--(Raw_Data!B286="Yes")</f>
        <v>0</v>
      </c>
    </row>
    <row r="287" spans="1:2">
      <c r="A287" s="19">
        <f>Raw_Data!J287</f>
        <v>391</v>
      </c>
      <c r="B287" s="19">
        <f>--(Raw_Data!B287="Yes")</f>
        <v>0</v>
      </c>
    </row>
    <row r="288" spans="1:2">
      <c r="A288" s="19">
        <f>Raw_Data!J288</f>
        <v>392</v>
      </c>
      <c r="B288" s="19">
        <f>--(Raw_Data!B288="Yes")</f>
        <v>1</v>
      </c>
    </row>
    <row r="289" spans="1:2">
      <c r="A289" s="19">
        <f>Raw_Data!J289</f>
        <v>393</v>
      </c>
      <c r="B289" s="19">
        <f>--(Raw_Data!B289="Yes")</f>
        <v>0</v>
      </c>
    </row>
    <row r="290" spans="1:2">
      <c r="A290" s="19">
        <f>Raw_Data!J290</f>
        <v>394</v>
      </c>
      <c r="B290" s="19">
        <f>--(Raw_Data!B290="Yes")</f>
        <v>1</v>
      </c>
    </row>
    <row r="291" spans="1:2">
      <c r="A291" s="19">
        <f>Raw_Data!J291</f>
        <v>395</v>
      </c>
      <c r="B291" s="19">
        <f>--(Raw_Data!B291="Yes")</f>
        <v>0</v>
      </c>
    </row>
    <row r="292" spans="1:2">
      <c r="A292" s="19">
        <f>Raw_Data!J292</f>
        <v>396</v>
      </c>
      <c r="B292" s="19">
        <f>--(Raw_Data!B292="Yes")</f>
        <v>0</v>
      </c>
    </row>
    <row r="293" spans="1:2">
      <c r="A293" s="19">
        <f>Raw_Data!J293</f>
        <v>397</v>
      </c>
      <c r="B293" s="19">
        <f>--(Raw_Data!B293="Yes")</f>
        <v>0</v>
      </c>
    </row>
    <row r="294" spans="1:2">
      <c r="A294" s="19">
        <f>Raw_Data!J294</f>
        <v>399</v>
      </c>
      <c r="B294" s="19">
        <f>--(Raw_Data!B294="Yes")</f>
        <v>0</v>
      </c>
    </row>
    <row r="295" spans="1:2">
      <c r="A295" s="19">
        <f>Raw_Data!J295</f>
        <v>401</v>
      </c>
      <c r="B295" s="19">
        <f>--(Raw_Data!B295="Yes")</f>
        <v>1</v>
      </c>
    </row>
    <row r="296" spans="1:2">
      <c r="A296" s="19">
        <f>Raw_Data!J296</f>
        <v>403</v>
      </c>
      <c r="B296" s="19">
        <f>--(Raw_Data!B296="Yes")</f>
        <v>0</v>
      </c>
    </row>
    <row r="297" spans="1:2">
      <c r="A297" s="19">
        <f>Raw_Data!J297</f>
        <v>404</v>
      </c>
      <c r="B297" s="19">
        <f>--(Raw_Data!B297="Yes")</f>
        <v>0</v>
      </c>
    </row>
    <row r="298" spans="1:2">
      <c r="A298" s="19">
        <f>Raw_Data!J298</f>
        <v>405</v>
      </c>
      <c r="B298" s="19">
        <f>--(Raw_Data!B298="Yes")</f>
        <v>1</v>
      </c>
    </row>
    <row r="299" spans="1:2">
      <c r="A299" s="19">
        <f>Raw_Data!J299</f>
        <v>406</v>
      </c>
      <c r="B299" s="19">
        <f>--(Raw_Data!B299="Yes")</f>
        <v>0</v>
      </c>
    </row>
    <row r="300" spans="1:2">
      <c r="A300" s="19">
        <f>Raw_Data!J300</f>
        <v>407</v>
      </c>
      <c r="B300" s="19">
        <f>--(Raw_Data!B300="Yes")</f>
        <v>0</v>
      </c>
    </row>
    <row r="301" spans="1:2">
      <c r="A301" s="19">
        <f>Raw_Data!J301</f>
        <v>408</v>
      </c>
      <c r="B301" s="19">
        <f>--(Raw_Data!B301="Yes")</f>
        <v>0</v>
      </c>
    </row>
    <row r="302" spans="1:2">
      <c r="A302" s="19">
        <f>Raw_Data!J302</f>
        <v>410</v>
      </c>
      <c r="B302" s="19">
        <f>--(Raw_Data!B302="Yes")</f>
        <v>0</v>
      </c>
    </row>
    <row r="303" spans="1:2">
      <c r="A303" s="19">
        <f>Raw_Data!J303</f>
        <v>411</v>
      </c>
      <c r="B303" s="19">
        <f>--(Raw_Data!B303="Yes")</f>
        <v>0</v>
      </c>
    </row>
    <row r="304" spans="1:2">
      <c r="A304" s="19">
        <f>Raw_Data!J304</f>
        <v>412</v>
      </c>
      <c r="B304" s="19">
        <f>--(Raw_Data!B304="Yes")</f>
        <v>0</v>
      </c>
    </row>
    <row r="305" spans="1:2">
      <c r="A305" s="19">
        <f>Raw_Data!J305</f>
        <v>416</v>
      </c>
      <c r="B305" s="19">
        <f>--(Raw_Data!B305="Yes")</f>
        <v>0</v>
      </c>
    </row>
    <row r="306" spans="1:2">
      <c r="A306" s="19">
        <f>Raw_Data!J306</f>
        <v>417</v>
      </c>
      <c r="B306" s="19">
        <f>--(Raw_Data!B306="Yes")</f>
        <v>0</v>
      </c>
    </row>
    <row r="307" spans="1:2">
      <c r="A307" s="19">
        <f>Raw_Data!J307</f>
        <v>419</v>
      </c>
      <c r="B307" s="19">
        <f>--(Raw_Data!B307="Yes")</f>
        <v>0</v>
      </c>
    </row>
    <row r="308" spans="1:2">
      <c r="A308" s="19">
        <f>Raw_Data!J308</f>
        <v>420</v>
      </c>
      <c r="B308" s="19">
        <f>--(Raw_Data!B308="Yes")</f>
        <v>0</v>
      </c>
    </row>
    <row r="309" spans="1:2">
      <c r="A309" s="19">
        <f>Raw_Data!J309</f>
        <v>421</v>
      </c>
      <c r="B309" s="19">
        <f>--(Raw_Data!B309="Yes")</f>
        <v>0</v>
      </c>
    </row>
    <row r="310" spans="1:2">
      <c r="A310" s="19">
        <f>Raw_Data!J310</f>
        <v>422</v>
      </c>
      <c r="B310" s="19">
        <f>--(Raw_Data!B310="Yes")</f>
        <v>0</v>
      </c>
    </row>
    <row r="311" spans="1:2">
      <c r="A311" s="19">
        <f>Raw_Data!J311</f>
        <v>423</v>
      </c>
      <c r="B311" s="19">
        <f>--(Raw_Data!B311="Yes")</f>
        <v>0</v>
      </c>
    </row>
    <row r="312" spans="1:2">
      <c r="A312" s="19">
        <f>Raw_Data!J312</f>
        <v>424</v>
      </c>
      <c r="B312" s="19">
        <f>--(Raw_Data!B312="Yes")</f>
        <v>0</v>
      </c>
    </row>
    <row r="313" spans="1:2">
      <c r="A313" s="19">
        <f>Raw_Data!J313</f>
        <v>425</v>
      </c>
      <c r="B313" s="19">
        <f>--(Raw_Data!B313="Yes")</f>
        <v>0</v>
      </c>
    </row>
    <row r="314" spans="1:2">
      <c r="A314" s="19">
        <f>Raw_Data!J314</f>
        <v>426</v>
      </c>
      <c r="B314" s="19">
        <f>--(Raw_Data!B314="Yes")</f>
        <v>0</v>
      </c>
    </row>
    <row r="315" spans="1:2">
      <c r="A315" s="19">
        <f>Raw_Data!J315</f>
        <v>428</v>
      </c>
      <c r="B315" s="19">
        <f>--(Raw_Data!B315="Yes")</f>
        <v>0</v>
      </c>
    </row>
    <row r="316" spans="1:2">
      <c r="A316" s="19">
        <f>Raw_Data!J316</f>
        <v>429</v>
      </c>
      <c r="B316" s="19">
        <f>--(Raw_Data!B316="Yes")</f>
        <v>0</v>
      </c>
    </row>
    <row r="317" spans="1:2">
      <c r="A317" s="19">
        <f>Raw_Data!J317</f>
        <v>430</v>
      </c>
      <c r="B317" s="19">
        <f>--(Raw_Data!B317="Yes")</f>
        <v>0</v>
      </c>
    </row>
    <row r="318" spans="1:2">
      <c r="A318" s="19">
        <f>Raw_Data!J318</f>
        <v>431</v>
      </c>
      <c r="B318" s="19">
        <f>--(Raw_Data!B318="Yes")</f>
        <v>0</v>
      </c>
    </row>
    <row r="319" spans="1:2">
      <c r="A319" s="19">
        <f>Raw_Data!J319</f>
        <v>433</v>
      </c>
      <c r="B319" s="19">
        <f>--(Raw_Data!B319="Yes")</f>
        <v>1</v>
      </c>
    </row>
    <row r="320" spans="1:2">
      <c r="A320" s="19">
        <f>Raw_Data!J320</f>
        <v>434</v>
      </c>
      <c r="B320" s="19">
        <f>--(Raw_Data!B320="Yes")</f>
        <v>0</v>
      </c>
    </row>
    <row r="321" spans="1:2">
      <c r="A321" s="19">
        <f>Raw_Data!J321</f>
        <v>436</v>
      </c>
      <c r="B321" s="19">
        <f>--(Raw_Data!B321="Yes")</f>
        <v>0</v>
      </c>
    </row>
    <row r="322" spans="1:2">
      <c r="A322" s="19">
        <f>Raw_Data!J322</f>
        <v>437</v>
      </c>
      <c r="B322" s="19">
        <f>--(Raw_Data!B322="Yes")</f>
        <v>0</v>
      </c>
    </row>
    <row r="323" spans="1:2">
      <c r="A323" s="19">
        <f>Raw_Data!J323</f>
        <v>438</v>
      </c>
      <c r="B323" s="19">
        <f>--(Raw_Data!B323="Yes")</f>
        <v>0</v>
      </c>
    </row>
    <row r="324" spans="1:2">
      <c r="A324" s="19">
        <f>Raw_Data!J324</f>
        <v>439</v>
      </c>
      <c r="B324" s="19">
        <f>--(Raw_Data!B324="Yes")</f>
        <v>0</v>
      </c>
    </row>
    <row r="325" spans="1:2">
      <c r="A325" s="19">
        <f>Raw_Data!J325</f>
        <v>440</v>
      </c>
      <c r="B325" s="19">
        <f>--(Raw_Data!B325="Yes")</f>
        <v>1</v>
      </c>
    </row>
    <row r="326" spans="1:2">
      <c r="A326" s="19">
        <f>Raw_Data!J326</f>
        <v>441</v>
      </c>
      <c r="B326" s="19">
        <f>--(Raw_Data!B326="Yes")</f>
        <v>0</v>
      </c>
    </row>
    <row r="327" spans="1:2">
      <c r="A327" s="19">
        <f>Raw_Data!J327</f>
        <v>442</v>
      </c>
      <c r="B327" s="19">
        <f>--(Raw_Data!B327="Yes")</f>
        <v>0</v>
      </c>
    </row>
    <row r="328" spans="1:2">
      <c r="A328" s="19">
        <f>Raw_Data!J328</f>
        <v>444</v>
      </c>
      <c r="B328" s="19">
        <f>--(Raw_Data!B328="Yes")</f>
        <v>0</v>
      </c>
    </row>
    <row r="329" spans="1:2">
      <c r="A329" s="19">
        <f>Raw_Data!J329</f>
        <v>445</v>
      </c>
      <c r="B329" s="19">
        <f>--(Raw_Data!B329="Yes")</f>
        <v>1</v>
      </c>
    </row>
    <row r="330" spans="1:2">
      <c r="A330" s="19">
        <f>Raw_Data!J330</f>
        <v>446</v>
      </c>
      <c r="B330" s="19">
        <f>--(Raw_Data!B330="Yes")</f>
        <v>0</v>
      </c>
    </row>
    <row r="331" spans="1:2">
      <c r="A331" s="19">
        <f>Raw_Data!J331</f>
        <v>447</v>
      </c>
      <c r="B331" s="19">
        <f>--(Raw_Data!B331="Yes")</f>
        <v>0</v>
      </c>
    </row>
    <row r="332" spans="1:2">
      <c r="A332" s="19">
        <f>Raw_Data!J332</f>
        <v>448</v>
      </c>
      <c r="B332" s="19">
        <f>--(Raw_Data!B332="Yes")</f>
        <v>0</v>
      </c>
    </row>
    <row r="333" spans="1:2">
      <c r="A333" s="19">
        <f>Raw_Data!J333</f>
        <v>449</v>
      </c>
      <c r="B333" s="19">
        <f>--(Raw_Data!B333="Yes")</f>
        <v>0</v>
      </c>
    </row>
    <row r="334" spans="1:2">
      <c r="A334" s="19">
        <f>Raw_Data!J334</f>
        <v>450</v>
      </c>
      <c r="B334" s="19">
        <f>--(Raw_Data!B334="Yes")</f>
        <v>0</v>
      </c>
    </row>
    <row r="335" spans="1:2">
      <c r="A335" s="19">
        <f>Raw_Data!J335</f>
        <v>451</v>
      </c>
      <c r="B335" s="19">
        <f>--(Raw_Data!B335="Yes")</f>
        <v>0</v>
      </c>
    </row>
    <row r="336" spans="1:2">
      <c r="A336" s="19">
        <f>Raw_Data!J336</f>
        <v>452</v>
      </c>
      <c r="B336" s="19">
        <f>--(Raw_Data!B336="Yes")</f>
        <v>0</v>
      </c>
    </row>
    <row r="337" spans="1:2">
      <c r="A337" s="19">
        <f>Raw_Data!J337</f>
        <v>453</v>
      </c>
      <c r="B337" s="19">
        <f>--(Raw_Data!B337="Yes")</f>
        <v>0</v>
      </c>
    </row>
    <row r="338" spans="1:2">
      <c r="A338" s="19">
        <f>Raw_Data!J338</f>
        <v>454</v>
      </c>
      <c r="B338" s="19">
        <f>--(Raw_Data!B338="Yes")</f>
        <v>1</v>
      </c>
    </row>
    <row r="339" spans="1:2">
      <c r="A339" s="19">
        <f>Raw_Data!J339</f>
        <v>455</v>
      </c>
      <c r="B339" s="19">
        <f>--(Raw_Data!B339="Yes")</f>
        <v>0</v>
      </c>
    </row>
    <row r="340" spans="1:2">
      <c r="A340" s="19">
        <f>Raw_Data!J340</f>
        <v>456</v>
      </c>
      <c r="B340" s="19">
        <f>--(Raw_Data!B340="Yes")</f>
        <v>0</v>
      </c>
    </row>
    <row r="341" spans="1:2">
      <c r="A341" s="19">
        <f>Raw_Data!J341</f>
        <v>458</v>
      </c>
      <c r="B341" s="19">
        <f>--(Raw_Data!B341="Yes")</f>
        <v>0</v>
      </c>
    </row>
    <row r="342" spans="1:2">
      <c r="A342" s="19">
        <f>Raw_Data!J342</f>
        <v>460</v>
      </c>
      <c r="B342" s="19">
        <f>--(Raw_Data!B342="Yes")</f>
        <v>0</v>
      </c>
    </row>
    <row r="343" spans="1:2">
      <c r="A343" s="19">
        <f>Raw_Data!J343</f>
        <v>461</v>
      </c>
      <c r="B343" s="19">
        <f>--(Raw_Data!B343="Yes")</f>
        <v>0</v>
      </c>
    </row>
    <row r="344" spans="1:2">
      <c r="A344" s="19">
        <f>Raw_Data!J344</f>
        <v>462</v>
      </c>
      <c r="B344" s="19">
        <f>--(Raw_Data!B344="Yes")</f>
        <v>0</v>
      </c>
    </row>
    <row r="345" spans="1:2">
      <c r="A345" s="19">
        <f>Raw_Data!J345</f>
        <v>463</v>
      </c>
      <c r="B345" s="19">
        <f>--(Raw_Data!B345="Yes")</f>
        <v>0</v>
      </c>
    </row>
    <row r="346" spans="1:2">
      <c r="A346" s="19">
        <f>Raw_Data!J346</f>
        <v>464</v>
      </c>
      <c r="B346" s="19">
        <f>--(Raw_Data!B346="Yes")</f>
        <v>0</v>
      </c>
    </row>
    <row r="347" spans="1:2">
      <c r="A347" s="19">
        <f>Raw_Data!J347</f>
        <v>465</v>
      </c>
      <c r="B347" s="19">
        <f>--(Raw_Data!B347="Yes")</f>
        <v>0</v>
      </c>
    </row>
    <row r="348" spans="1:2">
      <c r="A348" s="19">
        <f>Raw_Data!J348</f>
        <v>466</v>
      </c>
      <c r="B348" s="19">
        <f>--(Raw_Data!B348="Yes")</f>
        <v>0</v>
      </c>
    </row>
    <row r="349" spans="1:2">
      <c r="A349" s="19">
        <f>Raw_Data!J349</f>
        <v>467</v>
      </c>
      <c r="B349" s="19">
        <f>--(Raw_Data!B349="Yes")</f>
        <v>0</v>
      </c>
    </row>
    <row r="350" spans="1:2">
      <c r="A350" s="19">
        <f>Raw_Data!J350</f>
        <v>468</v>
      </c>
      <c r="B350" s="19">
        <f>--(Raw_Data!B350="Yes")</f>
        <v>0</v>
      </c>
    </row>
    <row r="351" spans="1:2">
      <c r="A351" s="19">
        <f>Raw_Data!J351</f>
        <v>469</v>
      </c>
      <c r="B351" s="19">
        <f>--(Raw_Data!B351="Yes")</f>
        <v>0</v>
      </c>
    </row>
    <row r="352" spans="1:2">
      <c r="A352" s="19">
        <f>Raw_Data!J352</f>
        <v>470</v>
      </c>
      <c r="B352" s="19">
        <f>--(Raw_Data!B352="Yes")</f>
        <v>0</v>
      </c>
    </row>
    <row r="353" spans="1:2">
      <c r="A353" s="19">
        <f>Raw_Data!J353</f>
        <v>471</v>
      </c>
      <c r="B353" s="19">
        <f>--(Raw_Data!B353="Yes")</f>
        <v>0</v>
      </c>
    </row>
    <row r="354" spans="1:2">
      <c r="A354" s="19">
        <f>Raw_Data!J354</f>
        <v>473</v>
      </c>
      <c r="B354" s="19">
        <f>--(Raw_Data!B354="Yes")</f>
        <v>0</v>
      </c>
    </row>
    <row r="355" spans="1:2">
      <c r="A355" s="19">
        <f>Raw_Data!J355</f>
        <v>474</v>
      </c>
      <c r="B355" s="19">
        <f>--(Raw_Data!B355="Yes")</f>
        <v>0</v>
      </c>
    </row>
    <row r="356" spans="1:2">
      <c r="A356" s="19">
        <f>Raw_Data!J356</f>
        <v>475</v>
      </c>
      <c r="B356" s="19">
        <f>--(Raw_Data!B356="Yes")</f>
        <v>0</v>
      </c>
    </row>
    <row r="357" spans="1:2">
      <c r="A357" s="19">
        <f>Raw_Data!J357</f>
        <v>476</v>
      </c>
      <c r="B357" s="19">
        <f>--(Raw_Data!B357="Yes")</f>
        <v>0</v>
      </c>
    </row>
    <row r="358" spans="1:2">
      <c r="A358" s="19">
        <f>Raw_Data!J358</f>
        <v>477</v>
      </c>
      <c r="B358" s="19">
        <f>--(Raw_Data!B358="Yes")</f>
        <v>0</v>
      </c>
    </row>
    <row r="359" spans="1:2">
      <c r="A359" s="19">
        <f>Raw_Data!J359</f>
        <v>478</v>
      </c>
      <c r="B359" s="19">
        <f>--(Raw_Data!B359="Yes")</f>
        <v>1</v>
      </c>
    </row>
    <row r="360" spans="1:2">
      <c r="A360" s="19">
        <f>Raw_Data!J360</f>
        <v>479</v>
      </c>
      <c r="B360" s="19">
        <f>--(Raw_Data!B360="Yes")</f>
        <v>0</v>
      </c>
    </row>
    <row r="361" spans="1:2">
      <c r="A361" s="19">
        <f>Raw_Data!J361</f>
        <v>481</v>
      </c>
      <c r="B361" s="19">
        <f>--(Raw_Data!B361="Yes")</f>
        <v>0</v>
      </c>
    </row>
    <row r="362" spans="1:2">
      <c r="A362" s="19">
        <f>Raw_Data!J362</f>
        <v>482</v>
      </c>
      <c r="B362" s="19">
        <f>--(Raw_Data!B362="Yes")</f>
        <v>0</v>
      </c>
    </row>
    <row r="363" spans="1:2">
      <c r="A363" s="19">
        <f>Raw_Data!J363</f>
        <v>483</v>
      </c>
      <c r="B363" s="19">
        <f>--(Raw_Data!B363="Yes")</f>
        <v>0</v>
      </c>
    </row>
    <row r="364" spans="1:2">
      <c r="A364" s="19">
        <f>Raw_Data!J364</f>
        <v>484</v>
      </c>
      <c r="B364" s="19">
        <f>--(Raw_Data!B364="Yes")</f>
        <v>0</v>
      </c>
    </row>
    <row r="365" spans="1:2">
      <c r="A365" s="19">
        <f>Raw_Data!J365</f>
        <v>485</v>
      </c>
      <c r="B365" s="19">
        <f>--(Raw_Data!B365="Yes")</f>
        <v>1</v>
      </c>
    </row>
    <row r="366" spans="1:2">
      <c r="A366" s="19">
        <f>Raw_Data!J366</f>
        <v>486</v>
      </c>
      <c r="B366" s="19">
        <f>--(Raw_Data!B366="Yes")</f>
        <v>0</v>
      </c>
    </row>
    <row r="367" spans="1:2">
      <c r="A367" s="19">
        <f>Raw_Data!J367</f>
        <v>487</v>
      </c>
      <c r="B367" s="19">
        <f>--(Raw_Data!B367="Yes")</f>
        <v>0</v>
      </c>
    </row>
    <row r="368" spans="1:2">
      <c r="A368" s="19">
        <f>Raw_Data!J368</f>
        <v>488</v>
      </c>
      <c r="B368" s="19">
        <f>--(Raw_Data!B368="Yes")</f>
        <v>1</v>
      </c>
    </row>
    <row r="369" spans="1:2">
      <c r="A369" s="19">
        <f>Raw_Data!J369</f>
        <v>491</v>
      </c>
      <c r="B369" s="19">
        <f>--(Raw_Data!B369="Yes")</f>
        <v>0</v>
      </c>
    </row>
    <row r="370" spans="1:2">
      <c r="A370" s="19">
        <f>Raw_Data!J370</f>
        <v>492</v>
      </c>
      <c r="B370" s="19">
        <f>--(Raw_Data!B370="Yes")</f>
        <v>1</v>
      </c>
    </row>
    <row r="371" spans="1:2">
      <c r="A371" s="19">
        <f>Raw_Data!J371</f>
        <v>493</v>
      </c>
      <c r="B371" s="19">
        <f>--(Raw_Data!B371="Yes")</f>
        <v>0</v>
      </c>
    </row>
    <row r="372" spans="1:2">
      <c r="A372" s="19">
        <f>Raw_Data!J372</f>
        <v>494</v>
      </c>
      <c r="B372" s="19">
        <f>--(Raw_Data!B372="Yes")</f>
        <v>1</v>
      </c>
    </row>
    <row r="373" spans="1:2">
      <c r="A373" s="19">
        <f>Raw_Data!J373</f>
        <v>495</v>
      </c>
      <c r="B373" s="19">
        <f>--(Raw_Data!B373="Yes")</f>
        <v>0</v>
      </c>
    </row>
    <row r="374" spans="1:2">
      <c r="A374" s="19">
        <f>Raw_Data!J374</f>
        <v>496</v>
      </c>
      <c r="B374" s="19">
        <f>--(Raw_Data!B374="Yes")</f>
        <v>0</v>
      </c>
    </row>
    <row r="375" spans="1:2">
      <c r="A375" s="19">
        <f>Raw_Data!J375</f>
        <v>497</v>
      </c>
      <c r="B375" s="19">
        <f>--(Raw_Data!B375="Yes")</f>
        <v>0</v>
      </c>
    </row>
    <row r="376" spans="1:2">
      <c r="A376" s="19">
        <f>Raw_Data!J376</f>
        <v>498</v>
      </c>
      <c r="B376" s="19">
        <f>--(Raw_Data!B376="Yes")</f>
        <v>0</v>
      </c>
    </row>
    <row r="377" spans="1:2">
      <c r="A377" s="19">
        <f>Raw_Data!J377</f>
        <v>499</v>
      </c>
      <c r="B377" s="19">
        <f>--(Raw_Data!B377="Yes")</f>
        <v>0</v>
      </c>
    </row>
    <row r="378" spans="1:2">
      <c r="A378" s="19">
        <f>Raw_Data!J378</f>
        <v>500</v>
      </c>
      <c r="B378" s="19">
        <f>--(Raw_Data!B378="Yes")</f>
        <v>0</v>
      </c>
    </row>
    <row r="379" spans="1:2">
      <c r="A379" s="19">
        <f>Raw_Data!J379</f>
        <v>501</v>
      </c>
      <c r="B379" s="19">
        <f>--(Raw_Data!B379="Yes")</f>
        <v>0</v>
      </c>
    </row>
    <row r="380" spans="1:2">
      <c r="A380" s="19">
        <f>Raw_Data!J380</f>
        <v>502</v>
      </c>
      <c r="B380" s="19">
        <f>--(Raw_Data!B380="Yes")</f>
        <v>1</v>
      </c>
    </row>
    <row r="381" spans="1:2">
      <c r="A381" s="19">
        <f>Raw_Data!J381</f>
        <v>505</v>
      </c>
      <c r="B381" s="19">
        <f>--(Raw_Data!B381="Yes")</f>
        <v>0</v>
      </c>
    </row>
    <row r="382" spans="1:2">
      <c r="A382" s="19">
        <f>Raw_Data!J382</f>
        <v>507</v>
      </c>
      <c r="B382" s="19">
        <f>--(Raw_Data!B382="Yes")</f>
        <v>0</v>
      </c>
    </row>
    <row r="383" spans="1:2">
      <c r="A383" s="19">
        <f>Raw_Data!J383</f>
        <v>508</v>
      </c>
      <c r="B383" s="19">
        <f>--(Raw_Data!B383="Yes")</f>
        <v>0</v>
      </c>
    </row>
    <row r="384" spans="1:2">
      <c r="A384" s="19">
        <f>Raw_Data!J384</f>
        <v>510</v>
      </c>
      <c r="B384" s="19">
        <f>--(Raw_Data!B384="Yes")</f>
        <v>1</v>
      </c>
    </row>
    <row r="385" spans="1:2">
      <c r="A385" s="19">
        <f>Raw_Data!J385</f>
        <v>511</v>
      </c>
      <c r="B385" s="19">
        <f>--(Raw_Data!B385="Yes")</f>
        <v>0</v>
      </c>
    </row>
    <row r="386" spans="1:2">
      <c r="A386" s="19">
        <f>Raw_Data!J386</f>
        <v>513</v>
      </c>
      <c r="B386" s="19">
        <f>--(Raw_Data!B386="Yes")</f>
        <v>0</v>
      </c>
    </row>
    <row r="387" spans="1:2">
      <c r="A387" s="19">
        <f>Raw_Data!J387</f>
        <v>514</v>
      </c>
      <c r="B387" s="19">
        <f>--(Raw_Data!B387="Yes")</f>
        <v>1</v>
      </c>
    </row>
    <row r="388" spans="1:2">
      <c r="A388" s="19">
        <f>Raw_Data!J388</f>
        <v>515</v>
      </c>
      <c r="B388" s="19">
        <f>--(Raw_Data!B388="Yes")</f>
        <v>0</v>
      </c>
    </row>
    <row r="389" spans="1:2">
      <c r="A389" s="19">
        <f>Raw_Data!J389</f>
        <v>516</v>
      </c>
      <c r="B389" s="19">
        <f>--(Raw_Data!B389="Yes")</f>
        <v>0</v>
      </c>
    </row>
    <row r="390" spans="1:2">
      <c r="A390" s="19">
        <f>Raw_Data!J390</f>
        <v>517</v>
      </c>
      <c r="B390" s="19">
        <f>--(Raw_Data!B390="Yes")</f>
        <v>0</v>
      </c>
    </row>
    <row r="391" spans="1:2">
      <c r="A391" s="19">
        <f>Raw_Data!J391</f>
        <v>518</v>
      </c>
      <c r="B391" s="19">
        <f>--(Raw_Data!B391="Yes")</f>
        <v>0</v>
      </c>
    </row>
    <row r="392" spans="1:2">
      <c r="A392" s="19">
        <f>Raw_Data!J392</f>
        <v>520</v>
      </c>
      <c r="B392" s="19">
        <f>--(Raw_Data!B392="Yes")</f>
        <v>0</v>
      </c>
    </row>
    <row r="393" spans="1:2">
      <c r="A393" s="19">
        <f>Raw_Data!J393</f>
        <v>521</v>
      </c>
      <c r="B393" s="19">
        <f>--(Raw_Data!B393="Yes")</f>
        <v>0</v>
      </c>
    </row>
    <row r="394" spans="1:2">
      <c r="A394" s="19">
        <f>Raw_Data!J394</f>
        <v>522</v>
      </c>
      <c r="B394" s="19">
        <f>--(Raw_Data!B394="Yes")</f>
        <v>0</v>
      </c>
    </row>
    <row r="395" spans="1:2">
      <c r="A395" s="19">
        <f>Raw_Data!J395</f>
        <v>523</v>
      </c>
      <c r="B395" s="19">
        <f>--(Raw_Data!B395="Yes")</f>
        <v>0</v>
      </c>
    </row>
    <row r="396" spans="1:2">
      <c r="A396" s="19">
        <f>Raw_Data!J396</f>
        <v>524</v>
      </c>
      <c r="B396" s="19">
        <f>--(Raw_Data!B396="Yes")</f>
        <v>0</v>
      </c>
    </row>
    <row r="397" spans="1:2">
      <c r="A397" s="19">
        <f>Raw_Data!J397</f>
        <v>525</v>
      </c>
      <c r="B397" s="19">
        <f>--(Raw_Data!B397="Yes")</f>
        <v>0</v>
      </c>
    </row>
    <row r="398" spans="1:2">
      <c r="A398" s="19">
        <f>Raw_Data!J398</f>
        <v>526</v>
      </c>
      <c r="B398" s="19">
        <f>--(Raw_Data!B398="Yes")</f>
        <v>0</v>
      </c>
    </row>
    <row r="399" spans="1:2">
      <c r="A399" s="19">
        <f>Raw_Data!J399</f>
        <v>527</v>
      </c>
      <c r="B399" s="19">
        <f>--(Raw_Data!B399="Yes")</f>
        <v>0</v>
      </c>
    </row>
    <row r="400" spans="1:2">
      <c r="A400" s="19">
        <f>Raw_Data!J400</f>
        <v>529</v>
      </c>
      <c r="B400" s="19">
        <f>--(Raw_Data!B400="Yes")</f>
        <v>0</v>
      </c>
    </row>
    <row r="401" spans="1:2">
      <c r="A401" s="19">
        <f>Raw_Data!J401</f>
        <v>530</v>
      </c>
      <c r="B401" s="19">
        <f>--(Raw_Data!B401="Yes")</f>
        <v>0</v>
      </c>
    </row>
    <row r="402" spans="1:2">
      <c r="A402" s="19">
        <f>Raw_Data!J402</f>
        <v>531</v>
      </c>
      <c r="B402" s="19">
        <f>--(Raw_Data!B402="Yes")</f>
        <v>0</v>
      </c>
    </row>
    <row r="403" spans="1:2">
      <c r="A403" s="19">
        <f>Raw_Data!J403</f>
        <v>532</v>
      </c>
      <c r="B403" s="19">
        <f>--(Raw_Data!B403="Yes")</f>
        <v>0</v>
      </c>
    </row>
    <row r="404" spans="1:2">
      <c r="A404" s="19">
        <f>Raw_Data!J404</f>
        <v>533</v>
      </c>
      <c r="B404" s="19">
        <f>--(Raw_Data!B404="Yes")</f>
        <v>0</v>
      </c>
    </row>
    <row r="405" spans="1:2">
      <c r="A405" s="19">
        <f>Raw_Data!J405</f>
        <v>534</v>
      </c>
      <c r="B405" s="19">
        <f>--(Raw_Data!B405="Yes")</f>
        <v>0</v>
      </c>
    </row>
    <row r="406" spans="1:2">
      <c r="A406" s="19">
        <f>Raw_Data!J406</f>
        <v>536</v>
      </c>
      <c r="B406" s="19">
        <f>--(Raw_Data!B406="Yes")</f>
        <v>0</v>
      </c>
    </row>
    <row r="407" spans="1:2">
      <c r="A407" s="19">
        <f>Raw_Data!J407</f>
        <v>538</v>
      </c>
      <c r="B407" s="19">
        <f>--(Raw_Data!B407="Yes")</f>
        <v>1</v>
      </c>
    </row>
    <row r="408" spans="1:2">
      <c r="A408" s="19">
        <f>Raw_Data!J408</f>
        <v>543</v>
      </c>
      <c r="B408" s="19">
        <f>--(Raw_Data!B408="Yes")</f>
        <v>0</v>
      </c>
    </row>
    <row r="409" spans="1:2">
      <c r="A409" s="19">
        <f>Raw_Data!J409</f>
        <v>544</v>
      </c>
      <c r="B409" s="19">
        <f>--(Raw_Data!B409="Yes")</f>
        <v>0</v>
      </c>
    </row>
    <row r="410" spans="1:2">
      <c r="A410" s="19">
        <f>Raw_Data!J410</f>
        <v>546</v>
      </c>
      <c r="B410" s="19">
        <f>--(Raw_Data!B410="Yes")</f>
        <v>0</v>
      </c>
    </row>
    <row r="411" spans="1:2">
      <c r="A411" s="19">
        <f>Raw_Data!J411</f>
        <v>547</v>
      </c>
      <c r="B411" s="19">
        <f>--(Raw_Data!B411="Yes")</f>
        <v>0</v>
      </c>
    </row>
    <row r="412" spans="1:2">
      <c r="A412" s="19">
        <f>Raw_Data!J412</f>
        <v>548</v>
      </c>
      <c r="B412" s="19">
        <f>--(Raw_Data!B412="Yes")</f>
        <v>0</v>
      </c>
    </row>
    <row r="413" spans="1:2">
      <c r="A413" s="19">
        <f>Raw_Data!J413</f>
        <v>549</v>
      </c>
      <c r="B413" s="19">
        <f>--(Raw_Data!B413="Yes")</f>
        <v>0</v>
      </c>
    </row>
    <row r="414" spans="1:2">
      <c r="A414" s="19">
        <f>Raw_Data!J414</f>
        <v>550</v>
      </c>
      <c r="B414" s="19">
        <f>--(Raw_Data!B414="Yes")</f>
        <v>0</v>
      </c>
    </row>
    <row r="415" spans="1:2">
      <c r="A415" s="19">
        <f>Raw_Data!J415</f>
        <v>551</v>
      </c>
      <c r="B415" s="19">
        <f>--(Raw_Data!B415="Yes")</f>
        <v>0</v>
      </c>
    </row>
    <row r="416" spans="1:2">
      <c r="A416" s="19">
        <f>Raw_Data!J416</f>
        <v>554</v>
      </c>
      <c r="B416" s="19">
        <f>--(Raw_Data!B416="Yes")</f>
        <v>1</v>
      </c>
    </row>
    <row r="417" spans="1:2">
      <c r="A417" s="19">
        <f>Raw_Data!J417</f>
        <v>555</v>
      </c>
      <c r="B417" s="19">
        <f>--(Raw_Data!B417="Yes")</f>
        <v>1</v>
      </c>
    </row>
    <row r="418" spans="1:2">
      <c r="A418" s="19">
        <f>Raw_Data!J418</f>
        <v>556</v>
      </c>
      <c r="B418" s="19">
        <f>--(Raw_Data!B418="Yes")</f>
        <v>0</v>
      </c>
    </row>
    <row r="419" spans="1:2">
      <c r="A419" s="19">
        <f>Raw_Data!J419</f>
        <v>558</v>
      </c>
      <c r="B419" s="19">
        <f>--(Raw_Data!B419="Yes")</f>
        <v>0</v>
      </c>
    </row>
    <row r="420" spans="1:2">
      <c r="A420" s="19">
        <f>Raw_Data!J420</f>
        <v>560</v>
      </c>
      <c r="B420" s="19">
        <f>--(Raw_Data!B420="Yes")</f>
        <v>0</v>
      </c>
    </row>
    <row r="421" spans="1:2">
      <c r="A421" s="19">
        <f>Raw_Data!J421</f>
        <v>562</v>
      </c>
      <c r="B421" s="19">
        <f>--(Raw_Data!B421="Yes")</f>
        <v>0</v>
      </c>
    </row>
    <row r="422" spans="1:2">
      <c r="A422" s="19">
        <f>Raw_Data!J422</f>
        <v>564</v>
      </c>
      <c r="B422" s="19">
        <f>--(Raw_Data!B422="Yes")</f>
        <v>0</v>
      </c>
    </row>
    <row r="423" spans="1:2">
      <c r="A423" s="19">
        <f>Raw_Data!J423</f>
        <v>565</v>
      </c>
      <c r="B423" s="19">
        <f>--(Raw_Data!B423="Yes")</f>
        <v>1</v>
      </c>
    </row>
    <row r="424" spans="1:2">
      <c r="A424" s="19">
        <f>Raw_Data!J424</f>
        <v>566</v>
      </c>
      <c r="B424" s="19">
        <f>--(Raw_Data!B424="Yes")</f>
        <v>1</v>
      </c>
    </row>
    <row r="425" spans="1:2">
      <c r="A425" s="19">
        <f>Raw_Data!J425</f>
        <v>567</v>
      </c>
      <c r="B425" s="19">
        <f>--(Raw_Data!B425="Yes")</f>
        <v>0</v>
      </c>
    </row>
    <row r="426" spans="1:2">
      <c r="A426" s="19">
        <f>Raw_Data!J426</f>
        <v>568</v>
      </c>
      <c r="B426" s="19">
        <f>--(Raw_Data!B426="Yes")</f>
        <v>0</v>
      </c>
    </row>
    <row r="427" spans="1:2">
      <c r="A427" s="19">
        <f>Raw_Data!J427</f>
        <v>569</v>
      </c>
      <c r="B427" s="19">
        <f>--(Raw_Data!B427="Yes")</f>
        <v>0</v>
      </c>
    </row>
    <row r="428" spans="1:2">
      <c r="A428" s="19">
        <f>Raw_Data!J428</f>
        <v>571</v>
      </c>
      <c r="B428" s="19">
        <f>--(Raw_Data!B428="Yes")</f>
        <v>0</v>
      </c>
    </row>
    <row r="429" spans="1:2">
      <c r="A429" s="19">
        <f>Raw_Data!J429</f>
        <v>573</v>
      </c>
      <c r="B429" s="19">
        <f>--(Raw_Data!B429="Yes")</f>
        <v>0</v>
      </c>
    </row>
    <row r="430" spans="1:2">
      <c r="A430" s="19">
        <f>Raw_Data!J430</f>
        <v>574</v>
      </c>
      <c r="B430" s="19">
        <f>--(Raw_Data!B430="Yes")</f>
        <v>0</v>
      </c>
    </row>
    <row r="431" spans="1:2">
      <c r="A431" s="19">
        <f>Raw_Data!J431</f>
        <v>575</v>
      </c>
      <c r="B431" s="19">
        <f>--(Raw_Data!B431="Yes")</f>
        <v>0</v>
      </c>
    </row>
    <row r="432" spans="1:2">
      <c r="A432" s="19">
        <f>Raw_Data!J432</f>
        <v>577</v>
      </c>
      <c r="B432" s="19">
        <f>--(Raw_Data!B432="Yes")</f>
        <v>0</v>
      </c>
    </row>
    <row r="433" spans="1:2">
      <c r="A433" s="19">
        <f>Raw_Data!J433</f>
        <v>578</v>
      </c>
      <c r="B433" s="19">
        <f>--(Raw_Data!B433="Yes")</f>
        <v>0</v>
      </c>
    </row>
    <row r="434" spans="1:2">
      <c r="A434" s="19">
        <f>Raw_Data!J434</f>
        <v>579</v>
      </c>
      <c r="B434" s="19">
        <f>--(Raw_Data!B434="Yes")</f>
        <v>0</v>
      </c>
    </row>
    <row r="435" spans="1:2">
      <c r="A435" s="19">
        <f>Raw_Data!J435</f>
        <v>580</v>
      </c>
      <c r="B435" s="19">
        <f>--(Raw_Data!B435="Yes")</f>
        <v>0</v>
      </c>
    </row>
    <row r="436" spans="1:2">
      <c r="A436" s="19">
        <f>Raw_Data!J436</f>
        <v>581</v>
      </c>
      <c r="B436" s="19">
        <f>--(Raw_Data!B436="Yes")</f>
        <v>0</v>
      </c>
    </row>
    <row r="437" spans="1:2">
      <c r="A437" s="19">
        <f>Raw_Data!J437</f>
        <v>582</v>
      </c>
      <c r="B437" s="19">
        <f>--(Raw_Data!B437="Yes")</f>
        <v>1</v>
      </c>
    </row>
    <row r="438" spans="1:2">
      <c r="A438" s="19">
        <f>Raw_Data!J438</f>
        <v>584</v>
      </c>
      <c r="B438" s="19">
        <f>--(Raw_Data!B438="Yes")</f>
        <v>1</v>
      </c>
    </row>
    <row r="439" spans="1:2">
      <c r="A439" s="19">
        <f>Raw_Data!J439</f>
        <v>585</v>
      </c>
      <c r="B439" s="19">
        <f>--(Raw_Data!B439="Yes")</f>
        <v>0</v>
      </c>
    </row>
    <row r="440" spans="1:2">
      <c r="A440" s="19">
        <f>Raw_Data!J440</f>
        <v>586</v>
      </c>
      <c r="B440" s="19">
        <f>--(Raw_Data!B440="Yes")</f>
        <v>0</v>
      </c>
    </row>
    <row r="441" spans="1:2">
      <c r="A441" s="19">
        <f>Raw_Data!J441</f>
        <v>587</v>
      </c>
      <c r="B441" s="19">
        <f>--(Raw_Data!B441="Yes")</f>
        <v>1</v>
      </c>
    </row>
    <row r="442" spans="1:2">
      <c r="A442" s="19">
        <f>Raw_Data!J442</f>
        <v>590</v>
      </c>
      <c r="B442" s="19">
        <f>--(Raw_Data!B442="Yes")</f>
        <v>1</v>
      </c>
    </row>
    <row r="443" spans="1:2">
      <c r="A443" s="19">
        <f>Raw_Data!J443</f>
        <v>591</v>
      </c>
      <c r="B443" s="19">
        <f>--(Raw_Data!B443="Yes")</f>
        <v>0</v>
      </c>
    </row>
    <row r="444" spans="1:2">
      <c r="A444" s="19">
        <f>Raw_Data!J444</f>
        <v>592</v>
      </c>
      <c r="B444" s="19">
        <f>--(Raw_Data!B444="Yes")</f>
        <v>0</v>
      </c>
    </row>
    <row r="445" spans="1:2">
      <c r="A445" s="19">
        <f>Raw_Data!J445</f>
        <v>593</v>
      </c>
      <c r="B445" s="19">
        <f>--(Raw_Data!B445="Yes")</f>
        <v>1</v>
      </c>
    </row>
    <row r="446" spans="1:2">
      <c r="A446" s="19">
        <f>Raw_Data!J446</f>
        <v>595</v>
      </c>
      <c r="B446" s="19">
        <f>--(Raw_Data!B446="Yes")</f>
        <v>0</v>
      </c>
    </row>
    <row r="447" spans="1:2">
      <c r="A447" s="19">
        <f>Raw_Data!J447</f>
        <v>597</v>
      </c>
      <c r="B447" s="19">
        <f>--(Raw_Data!B447="Yes")</f>
        <v>0</v>
      </c>
    </row>
    <row r="448" spans="1:2">
      <c r="A448" s="19">
        <f>Raw_Data!J448</f>
        <v>599</v>
      </c>
      <c r="B448" s="19">
        <f>--(Raw_Data!B448="Yes")</f>
        <v>0</v>
      </c>
    </row>
    <row r="449" spans="1:2">
      <c r="A449" s="19">
        <f>Raw_Data!J449</f>
        <v>600</v>
      </c>
      <c r="B449" s="19">
        <f>--(Raw_Data!B449="Yes")</f>
        <v>0</v>
      </c>
    </row>
    <row r="450" spans="1:2">
      <c r="A450" s="19">
        <f>Raw_Data!J450</f>
        <v>601</v>
      </c>
      <c r="B450" s="19">
        <f>--(Raw_Data!B450="Yes")</f>
        <v>0</v>
      </c>
    </row>
    <row r="451" spans="1:2">
      <c r="A451" s="19">
        <f>Raw_Data!J451</f>
        <v>602</v>
      </c>
      <c r="B451" s="19">
        <f>--(Raw_Data!B451="Yes")</f>
        <v>0</v>
      </c>
    </row>
    <row r="452" spans="1:2">
      <c r="A452" s="19">
        <f>Raw_Data!J452</f>
        <v>604</v>
      </c>
      <c r="B452" s="19">
        <f>--(Raw_Data!B452="Yes")</f>
        <v>0</v>
      </c>
    </row>
    <row r="453" spans="1:2">
      <c r="A453" s="19">
        <f>Raw_Data!J453</f>
        <v>605</v>
      </c>
      <c r="B453" s="19">
        <f>--(Raw_Data!B453="Yes")</f>
        <v>0</v>
      </c>
    </row>
    <row r="454" spans="1:2">
      <c r="A454" s="19">
        <f>Raw_Data!J454</f>
        <v>606</v>
      </c>
      <c r="B454" s="19">
        <f>--(Raw_Data!B454="Yes")</f>
        <v>0</v>
      </c>
    </row>
    <row r="455" spans="1:2">
      <c r="A455" s="19">
        <f>Raw_Data!J455</f>
        <v>608</v>
      </c>
      <c r="B455" s="19">
        <f>--(Raw_Data!B455="Yes")</f>
        <v>1</v>
      </c>
    </row>
    <row r="456" spans="1:2">
      <c r="A456" s="19">
        <f>Raw_Data!J456</f>
        <v>611</v>
      </c>
      <c r="B456" s="19">
        <f>--(Raw_Data!B456="Yes")</f>
        <v>0</v>
      </c>
    </row>
    <row r="457" spans="1:2">
      <c r="A457" s="19">
        <f>Raw_Data!J457</f>
        <v>612</v>
      </c>
      <c r="B457" s="19">
        <f>--(Raw_Data!B457="Yes")</f>
        <v>0</v>
      </c>
    </row>
    <row r="458" spans="1:2">
      <c r="A458" s="19">
        <f>Raw_Data!J458</f>
        <v>613</v>
      </c>
      <c r="B458" s="19">
        <f>--(Raw_Data!B458="Yes")</f>
        <v>0</v>
      </c>
    </row>
    <row r="459" spans="1:2">
      <c r="A459" s="19">
        <f>Raw_Data!J459</f>
        <v>614</v>
      </c>
      <c r="B459" s="19">
        <f>--(Raw_Data!B459="Yes")</f>
        <v>1</v>
      </c>
    </row>
    <row r="460" spans="1:2">
      <c r="A460" s="19">
        <f>Raw_Data!J460</f>
        <v>615</v>
      </c>
      <c r="B460" s="19">
        <f>--(Raw_Data!B460="Yes")</f>
        <v>0</v>
      </c>
    </row>
    <row r="461" spans="1:2">
      <c r="A461" s="19">
        <f>Raw_Data!J461</f>
        <v>616</v>
      </c>
      <c r="B461" s="19">
        <f>--(Raw_Data!B461="Yes")</f>
        <v>0</v>
      </c>
    </row>
    <row r="462" spans="1:2">
      <c r="A462" s="19">
        <f>Raw_Data!J462</f>
        <v>618</v>
      </c>
      <c r="B462" s="19">
        <f>--(Raw_Data!B462="Yes")</f>
        <v>0</v>
      </c>
    </row>
    <row r="463" spans="1:2">
      <c r="A463" s="19">
        <f>Raw_Data!J463</f>
        <v>620</v>
      </c>
      <c r="B463" s="19">
        <f>--(Raw_Data!B463="Yes")</f>
        <v>0</v>
      </c>
    </row>
    <row r="464" spans="1:2">
      <c r="A464" s="19">
        <f>Raw_Data!J464</f>
        <v>621</v>
      </c>
      <c r="B464" s="19">
        <f>--(Raw_Data!B464="Yes")</f>
        <v>0</v>
      </c>
    </row>
    <row r="465" spans="1:2">
      <c r="A465" s="19">
        <f>Raw_Data!J465</f>
        <v>622</v>
      </c>
      <c r="B465" s="19">
        <f>--(Raw_Data!B465="Yes")</f>
        <v>1</v>
      </c>
    </row>
    <row r="466" spans="1:2">
      <c r="A466" s="19">
        <f>Raw_Data!J466</f>
        <v>623</v>
      </c>
      <c r="B466" s="19">
        <f>--(Raw_Data!B466="Yes")</f>
        <v>0</v>
      </c>
    </row>
    <row r="467" spans="1:2">
      <c r="A467" s="19">
        <f>Raw_Data!J467</f>
        <v>624</v>
      </c>
      <c r="B467" s="19">
        <f>--(Raw_Data!B467="Yes")</f>
        <v>0</v>
      </c>
    </row>
    <row r="468" spans="1:2">
      <c r="A468" s="19">
        <f>Raw_Data!J468</f>
        <v>625</v>
      </c>
      <c r="B468" s="19">
        <f>--(Raw_Data!B468="Yes")</f>
        <v>0</v>
      </c>
    </row>
    <row r="469" spans="1:2">
      <c r="A469" s="19">
        <f>Raw_Data!J469</f>
        <v>626</v>
      </c>
      <c r="B469" s="19">
        <f>--(Raw_Data!B469="Yes")</f>
        <v>0</v>
      </c>
    </row>
    <row r="470" spans="1:2">
      <c r="A470" s="19">
        <f>Raw_Data!J470</f>
        <v>630</v>
      </c>
      <c r="B470" s="19">
        <f>--(Raw_Data!B470="Yes")</f>
        <v>0</v>
      </c>
    </row>
    <row r="471" spans="1:2">
      <c r="A471" s="19">
        <f>Raw_Data!J471</f>
        <v>631</v>
      </c>
      <c r="B471" s="19">
        <f>--(Raw_Data!B471="Yes")</f>
        <v>1</v>
      </c>
    </row>
    <row r="472" spans="1:2">
      <c r="A472" s="19">
        <f>Raw_Data!J472</f>
        <v>632</v>
      </c>
      <c r="B472" s="19">
        <f>--(Raw_Data!B472="Yes")</f>
        <v>0</v>
      </c>
    </row>
    <row r="473" spans="1:2">
      <c r="A473" s="19">
        <f>Raw_Data!J473</f>
        <v>634</v>
      </c>
      <c r="B473" s="19">
        <f>--(Raw_Data!B473="Yes")</f>
        <v>0</v>
      </c>
    </row>
    <row r="474" spans="1:2">
      <c r="A474" s="19">
        <f>Raw_Data!J474</f>
        <v>635</v>
      </c>
      <c r="B474" s="19">
        <f>--(Raw_Data!B474="Yes")</f>
        <v>0</v>
      </c>
    </row>
    <row r="475" spans="1:2">
      <c r="A475" s="19">
        <f>Raw_Data!J475</f>
        <v>638</v>
      </c>
      <c r="B475" s="19">
        <f>--(Raw_Data!B475="Yes")</f>
        <v>0</v>
      </c>
    </row>
    <row r="476" spans="1:2">
      <c r="A476" s="19">
        <f>Raw_Data!J476</f>
        <v>639</v>
      </c>
      <c r="B476" s="19">
        <f>--(Raw_Data!B476="Yes")</f>
        <v>0</v>
      </c>
    </row>
    <row r="477" spans="1:2">
      <c r="A477" s="19">
        <f>Raw_Data!J477</f>
        <v>641</v>
      </c>
      <c r="B477" s="19">
        <f>--(Raw_Data!B477="Yes")</f>
        <v>0</v>
      </c>
    </row>
    <row r="478" spans="1:2">
      <c r="A478" s="19">
        <f>Raw_Data!J478</f>
        <v>643</v>
      </c>
      <c r="B478" s="19">
        <f>--(Raw_Data!B478="Yes")</f>
        <v>0</v>
      </c>
    </row>
    <row r="479" spans="1:2">
      <c r="A479" s="19">
        <f>Raw_Data!J479</f>
        <v>644</v>
      </c>
      <c r="B479" s="19">
        <f>--(Raw_Data!B479="Yes")</f>
        <v>0</v>
      </c>
    </row>
    <row r="480" spans="1:2">
      <c r="A480" s="19">
        <f>Raw_Data!J480</f>
        <v>645</v>
      </c>
      <c r="B480" s="19">
        <f>--(Raw_Data!B480="Yes")</f>
        <v>0</v>
      </c>
    </row>
    <row r="481" spans="1:2">
      <c r="A481" s="19">
        <f>Raw_Data!J481</f>
        <v>647</v>
      </c>
      <c r="B481" s="19">
        <f>--(Raw_Data!B481="Yes")</f>
        <v>1</v>
      </c>
    </row>
    <row r="482" spans="1:2">
      <c r="A482" s="19">
        <f>Raw_Data!J482</f>
        <v>648</v>
      </c>
      <c r="B482" s="19">
        <f>--(Raw_Data!B482="Yes")</f>
        <v>1</v>
      </c>
    </row>
    <row r="483" spans="1:2">
      <c r="A483" s="19">
        <f>Raw_Data!J483</f>
        <v>649</v>
      </c>
      <c r="B483" s="19">
        <f>--(Raw_Data!B483="Yes")</f>
        <v>0</v>
      </c>
    </row>
    <row r="484" spans="1:2">
      <c r="A484" s="19">
        <f>Raw_Data!J484</f>
        <v>650</v>
      </c>
      <c r="B484" s="19">
        <f>--(Raw_Data!B484="Yes")</f>
        <v>1</v>
      </c>
    </row>
    <row r="485" spans="1:2">
      <c r="A485" s="19">
        <f>Raw_Data!J485</f>
        <v>652</v>
      </c>
      <c r="B485" s="19">
        <f>--(Raw_Data!B485="Yes")</f>
        <v>0</v>
      </c>
    </row>
    <row r="486" spans="1:2">
      <c r="A486" s="19">
        <f>Raw_Data!J486</f>
        <v>653</v>
      </c>
      <c r="B486" s="19">
        <f>--(Raw_Data!B486="Yes")</f>
        <v>0</v>
      </c>
    </row>
    <row r="487" spans="1:2">
      <c r="A487" s="19">
        <f>Raw_Data!J487</f>
        <v>655</v>
      </c>
      <c r="B487" s="19">
        <f>--(Raw_Data!B487="Yes")</f>
        <v>0</v>
      </c>
    </row>
    <row r="488" spans="1:2">
      <c r="A488" s="19">
        <f>Raw_Data!J488</f>
        <v>656</v>
      </c>
      <c r="B488" s="19">
        <f>--(Raw_Data!B488="Yes")</f>
        <v>0</v>
      </c>
    </row>
    <row r="489" spans="1:2">
      <c r="A489" s="19">
        <f>Raw_Data!J489</f>
        <v>657</v>
      </c>
      <c r="B489" s="19">
        <f>--(Raw_Data!B489="Yes")</f>
        <v>0</v>
      </c>
    </row>
    <row r="490" spans="1:2">
      <c r="A490" s="19">
        <f>Raw_Data!J490</f>
        <v>659</v>
      </c>
      <c r="B490" s="19">
        <f>--(Raw_Data!B490="Yes")</f>
        <v>0</v>
      </c>
    </row>
    <row r="491" spans="1:2">
      <c r="A491" s="19">
        <f>Raw_Data!J491</f>
        <v>661</v>
      </c>
      <c r="B491" s="19">
        <f>--(Raw_Data!B491="Yes")</f>
        <v>0</v>
      </c>
    </row>
    <row r="492" spans="1:2">
      <c r="A492" s="19">
        <f>Raw_Data!J492</f>
        <v>662</v>
      </c>
      <c r="B492" s="19">
        <f>--(Raw_Data!B492="Yes")</f>
        <v>0</v>
      </c>
    </row>
    <row r="493" spans="1:2">
      <c r="A493" s="19">
        <f>Raw_Data!J493</f>
        <v>663</v>
      </c>
      <c r="B493" s="19">
        <f>--(Raw_Data!B493="Yes")</f>
        <v>0</v>
      </c>
    </row>
    <row r="494" spans="1:2">
      <c r="A494" s="19">
        <f>Raw_Data!J494</f>
        <v>664</v>
      </c>
      <c r="B494" s="19">
        <f>--(Raw_Data!B494="Yes")</f>
        <v>0</v>
      </c>
    </row>
    <row r="495" spans="1:2">
      <c r="A495" s="19">
        <f>Raw_Data!J495</f>
        <v>665</v>
      </c>
      <c r="B495" s="19">
        <f>--(Raw_Data!B495="Yes")</f>
        <v>0</v>
      </c>
    </row>
    <row r="496" spans="1:2">
      <c r="A496" s="19">
        <f>Raw_Data!J496</f>
        <v>666</v>
      </c>
      <c r="B496" s="19">
        <f>--(Raw_Data!B496="Yes")</f>
        <v>0</v>
      </c>
    </row>
    <row r="497" spans="1:2">
      <c r="A497" s="19">
        <f>Raw_Data!J497</f>
        <v>667</v>
      </c>
      <c r="B497" s="19">
        <f>--(Raw_Data!B497="Yes")</f>
        <v>1</v>
      </c>
    </row>
    <row r="498" spans="1:2">
      <c r="A498" s="19">
        <f>Raw_Data!J498</f>
        <v>669</v>
      </c>
      <c r="B498" s="19">
        <f>--(Raw_Data!B498="Yes")</f>
        <v>0</v>
      </c>
    </row>
    <row r="499" spans="1:2">
      <c r="A499" s="19">
        <f>Raw_Data!J499</f>
        <v>671</v>
      </c>
      <c r="B499" s="19">
        <f>--(Raw_Data!B499="Yes")</f>
        <v>0</v>
      </c>
    </row>
    <row r="500" spans="1:2">
      <c r="A500" s="19">
        <f>Raw_Data!J500</f>
        <v>675</v>
      </c>
      <c r="B500" s="19">
        <f>--(Raw_Data!B500="Yes")</f>
        <v>0</v>
      </c>
    </row>
    <row r="501" spans="1:2">
      <c r="A501" s="19">
        <f>Raw_Data!J501</f>
        <v>677</v>
      </c>
      <c r="B501" s="19">
        <f>--(Raw_Data!B501="Yes")</f>
        <v>0</v>
      </c>
    </row>
    <row r="502" spans="1:2">
      <c r="A502" s="19">
        <f>Raw_Data!J502</f>
        <v>679</v>
      </c>
      <c r="B502" s="19">
        <f>--(Raw_Data!B502="Yes")</f>
        <v>0</v>
      </c>
    </row>
    <row r="503" spans="1:2">
      <c r="A503" s="19">
        <f>Raw_Data!J503</f>
        <v>680</v>
      </c>
      <c r="B503" s="19">
        <f>--(Raw_Data!B503="Yes")</f>
        <v>0</v>
      </c>
    </row>
    <row r="504" spans="1:2">
      <c r="A504" s="19">
        <f>Raw_Data!J504</f>
        <v>682</v>
      </c>
      <c r="B504" s="19">
        <f>--(Raw_Data!B504="Yes")</f>
        <v>0</v>
      </c>
    </row>
    <row r="505" spans="1:2">
      <c r="A505" s="19">
        <f>Raw_Data!J505</f>
        <v>683</v>
      </c>
      <c r="B505" s="19">
        <f>--(Raw_Data!B505="Yes")</f>
        <v>0</v>
      </c>
    </row>
    <row r="506" spans="1:2">
      <c r="A506" s="19">
        <f>Raw_Data!J506</f>
        <v>684</v>
      </c>
      <c r="B506" s="19">
        <f>--(Raw_Data!B506="Yes")</f>
        <v>1</v>
      </c>
    </row>
    <row r="507" spans="1:2">
      <c r="A507" s="19">
        <f>Raw_Data!J507</f>
        <v>686</v>
      </c>
      <c r="B507" s="19">
        <f>--(Raw_Data!B507="Yes")</f>
        <v>0</v>
      </c>
    </row>
    <row r="508" spans="1:2">
      <c r="A508" s="19">
        <f>Raw_Data!J508</f>
        <v>689</v>
      </c>
      <c r="B508" s="19">
        <f>--(Raw_Data!B508="Yes")</f>
        <v>0</v>
      </c>
    </row>
    <row r="509" spans="1:2">
      <c r="A509" s="19">
        <f>Raw_Data!J509</f>
        <v>690</v>
      </c>
      <c r="B509" s="19">
        <f>--(Raw_Data!B509="Yes")</f>
        <v>0</v>
      </c>
    </row>
    <row r="510" spans="1:2">
      <c r="A510" s="19">
        <f>Raw_Data!J510</f>
        <v>691</v>
      </c>
      <c r="B510" s="19">
        <f>--(Raw_Data!B510="Yes")</f>
        <v>0</v>
      </c>
    </row>
    <row r="511" spans="1:2">
      <c r="A511" s="19">
        <f>Raw_Data!J511</f>
        <v>692</v>
      </c>
      <c r="B511" s="19">
        <f>--(Raw_Data!B511="Yes")</f>
        <v>0</v>
      </c>
    </row>
    <row r="512" spans="1:2">
      <c r="A512" s="19">
        <f>Raw_Data!J512</f>
        <v>698</v>
      </c>
      <c r="B512" s="19">
        <f>--(Raw_Data!B512="Yes")</f>
        <v>0</v>
      </c>
    </row>
    <row r="513" spans="1:2">
      <c r="A513" s="19">
        <f>Raw_Data!J513</f>
        <v>699</v>
      </c>
      <c r="B513" s="19">
        <f>--(Raw_Data!B513="Yes")</f>
        <v>0</v>
      </c>
    </row>
    <row r="514" spans="1:2">
      <c r="A514" s="19">
        <f>Raw_Data!J514</f>
        <v>700</v>
      </c>
      <c r="B514" s="19">
        <f>--(Raw_Data!B514="Yes")</f>
        <v>0</v>
      </c>
    </row>
    <row r="515" spans="1:2">
      <c r="A515" s="19">
        <f>Raw_Data!J515</f>
        <v>701</v>
      </c>
      <c r="B515" s="19">
        <f>--(Raw_Data!B515="Yes")</f>
        <v>1</v>
      </c>
    </row>
    <row r="516" spans="1:2">
      <c r="A516" s="19">
        <f>Raw_Data!J516</f>
        <v>702</v>
      </c>
      <c r="B516" s="19">
        <f>--(Raw_Data!B516="Yes")</f>
        <v>1</v>
      </c>
    </row>
    <row r="517" spans="1:2">
      <c r="A517" s="19">
        <f>Raw_Data!J517</f>
        <v>704</v>
      </c>
      <c r="B517" s="19">
        <f>--(Raw_Data!B517="Yes")</f>
        <v>0</v>
      </c>
    </row>
    <row r="518" spans="1:2">
      <c r="A518" s="19">
        <f>Raw_Data!J518</f>
        <v>705</v>
      </c>
      <c r="B518" s="19">
        <f>--(Raw_Data!B518="Yes")</f>
        <v>0</v>
      </c>
    </row>
    <row r="519" spans="1:2">
      <c r="A519" s="19">
        <f>Raw_Data!J519</f>
        <v>707</v>
      </c>
      <c r="B519" s="19">
        <f>--(Raw_Data!B519="Yes")</f>
        <v>0</v>
      </c>
    </row>
    <row r="520" spans="1:2">
      <c r="A520" s="19">
        <f>Raw_Data!J520</f>
        <v>709</v>
      </c>
      <c r="B520" s="19">
        <f>--(Raw_Data!B520="Yes")</f>
        <v>0</v>
      </c>
    </row>
    <row r="521" spans="1:2">
      <c r="A521" s="19">
        <f>Raw_Data!J521</f>
        <v>710</v>
      </c>
      <c r="B521" s="19">
        <f>--(Raw_Data!B521="Yes")</f>
        <v>0</v>
      </c>
    </row>
    <row r="522" spans="1:2">
      <c r="A522" s="19">
        <f>Raw_Data!J522</f>
        <v>712</v>
      </c>
      <c r="B522" s="19">
        <f>--(Raw_Data!B522="Yes")</f>
        <v>0</v>
      </c>
    </row>
    <row r="523" spans="1:2">
      <c r="A523" s="19">
        <f>Raw_Data!J523</f>
        <v>714</v>
      </c>
      <c r="B523" s="19">
        <f>--(Raw_Data!B523="Yes")</f>
        <v>0</v>
      </c>
    </row>
    <row r="524" spans="1:2">
      <c r="A524" s="19">
        <f>Raw_Data!J524</f>
        <v>715</v>
      </c>
      <c r="B524" s="19">
        <f>--(Raw_Data!B524="Yes")</f>
        <v>0</v>
      </c>
    </row>
    <row r="525" spans="1:2">
      <c r="A525" s="19">
        <f>Raw_Data!J525</f>
        <v>716</v>
      </c>
      <c r="B525" s="19">
        <f>--(Raw_Data!B525="Yes")</f>
        <v>0</v>
      </c>
    </row>
    <row r="526" spans="1:2">
      <c r="A526" s="19">
        <f>Raw_Data!J526</f>
        <v>717</v>
      </c>
      <c r="B526" s="19">
        <f>--(Raw_Data!B526="Yes")</f>
        <v>0</v>
      </c>
    </row>
    <row r="527" spans="1:2">
      <c r="A527" s="19">
        <f>Raw_Data!J527</f>
        <v>720</v>
      </c>
      <c r="B527" s="19">
        <f>--(Raw_Data!B527="Yes")</f>
        <v>1</v>
      </c>
    </row>
    <row r="528" spans="1:2">
      <c r="A528" s="19">
        <f>Raw_Data!J528</f>
        <v>721</v>
      </c>
      <c r="B528" s="19">
        <f>--(Raw_Data!B528="Yes")</f>
        <v>0</v>
      </c>
    </row>
    <row r="529" spans="1:2">
      <c r="A529" s="19">
        <f>Raw_Data!J529</f>
        <v>722</v>
      </c>
      <c r="B529" s="19">
        <f>--(Raw_Data!B529="Yes")</f>
        <v>0</v>
      </c>
    </row>
    <row r="530" spans="1:2">
      <c r="A530" s="19">
        <f>Raw_Data!J530</f>
        <v>723</v>
      </c>
      <c r="B530" s="19">
        <f>--(Raw_Data!B530="Yes")</f>
        <v>1</v>
      </c>
    </row>
    <row r="531" spans="1:2">
      <c r="A531" s="19">
        <f>Raw_Data!J531</f>
        <v>724</v>
      </c>
      <c r="B531" s="19">
        <f>--(Raw_Data!B531="Yes")</f>
        <v>0</v>
      </c>
    </row>
    <row r="532" spans="1:2">
      <c r="A532" s="19">
        <f>Raw_Data!J532</f>
        <v>725</v>
      </c>
      <c r="B532" s="19">
        <f>--(Raw_Data!B532="Yes")</f>
        <v>0</v>
      </c>
    </row>
    <row r="533" spans="1:2">
      <c r="A533" s="19">
        <f>Raw_Data!J533</f>
        <v>727</v>
      </c>
      <c r="B533" s="19">
        <f>--(Raw_Data!B533="Yes")</f>
        <v>0</v>
      </c>
    </row>
    <row r="534" spans="1:2">
      <c r="A534" s="19">
        <f>Raw_Data!J534</f>
        <v>728</v>
      </c>
      <c r="B534" s="19">
        <f>--(Raw_Data!B534="Yes")</f>
        <v>0</v>
      </c>
    </row>
    <row r="535" spans="1:2">
      <c r="A535" s="19">
        <f>Raw_Data!J535</f>
        <v>729</v>
      </c>
      <c r="B535" s="19">
        <f>--(Raw_Data!B535="Yes")</f>
        <v>0</v>
      </c>
    </row>
    <row r="536" spans="1:2">
      <c r="A536" s="19">
        <f>Raw_Data!J536</f>
        <v>730</v>
      </c>
      <c r="B536" s="19">
        <f>--(Raw_Data!B536="Yes")</f>
        <v>0</v>
      </c>
    </row>
    <row r="537" spans="1:2">
      <c r="A537" s="19">
        <f>Raw_Data!J537</f>
        <v>731</v>
      </c>
      <c r="B537" s="19">
        <f>--(Raw_Data!B537="Yes")</f>
        <v>0</v>
      </c>
    </row>
    <row r="538" spans="1:2">
      <c r="A538" s="19">
        <f>Raw_Data!J538</f>
        <v>732</v>
      </c>
      <c r="B538" s="19">
        <f>--(Raw_Data!B538="Yes")</f>
        <v>0</v>
      </c>
    </row>
    <row r="539" spans="1:2">
      <c r="A539" s="19">
        <f>Raw_Data!J539</f>
        <v>733</v>
      </c>
      <c r="B539" s="19">
        <f>--(Raw_Data!B539="Yes")</f>
        <v>0</v>
      </c>
    </row>
    <row r="540" spans="1:2">
      <c r="A540" s="19">
        <f>Raw_Data!J540</f>
        <v>734</v>
      </c>
      <c r="B540" s="19">
        <f>--(Raw_Data!B540="Yes")</f>
        <v>0</v>
      </c>
    </row>
    <row r="541" spans="1:2">
      <c r="A541" s="19">
        <f>Raw_Data!J541</f>
        <v>738</v>
      </c>
      <c r="B541" s="19">
        <f>--(Raw_Data!B541="Yes")</f>
        <v>0</v>
      </c>
    </row>
    <row r="542" spans="1:2">
      <c r="A542" s="19">
        <f>Raw_Data!J542</f>
        <v>741</v>
      </c>
      <c r="B542" s="19">
        <f>--(Raw_Data!B542="Yes")</f>
        <v>1</v>
      </c>
    </row>
    <row r="543" spans="1:2">
      <c r="A543" s="19">
        <f>Raw_Data!J543</f>
        <v>742</v>
      </c>
      <c r="B543" s="19">
        <f>--(Raw_Data!B543="Yes")</f>
        <v>0</v>
      </c>
    </row>
    <row r="544" spans="1:2">
      <c r="A544" s="19">
        <f>Raw_Data!J544</f>
        <v>743</v>
      </c>
      <c r="B544" s="19">
        <f>--(Raw_Data!B544="Yes")</f>
        <v>0</v>
      </c>
    </row>
    <row r="545" spans="1:2">
      <c r="A545" s="19">
        <f>Raw_Data!J545</f>
        <v>744</v>
      </c>
      <c r="B545" s="19">
        <f>--(Raw_Data!B545="Yes")</f>
        <v>0</v>
      </c>
    </row>
    <row r="546" spans="1:2">
      <c r="A546" s="19">
        <f>Raw_Data!J546</f>
        <v>746</v>
      </c>
      <c r="B546" s="19">
        <f>--(Raw_Data!B546="Yes")</f>
        <v>0</v>
      </c>
    </row>
    <row r="547" spans="1:2">
      <c r="A547" s="19">
        <f>Raw_Data!J547</f>
        <v>747</v>
      </c>
      <c r="B547" s="19">
        <f>--(Raw_Data!B547="Yes")</f>
        <v>0</v>
      </c>
    </row>
    <row r="548" spans="1:2">
      <c r="A548" s="19">
        <f>Raw_Data!J548</f>
        <v>749</v>
      </c>
      <c r="B548" s="19">
        <f>--(Raw_Data!B548="Yes")</f>
        <v>0</v>
      </c>
    </row>
    <row r="549" spans="1:2">
      <c r="A549" s="19">
        <f>Raw_Data!J549</f>
        <v>752</v>
      </c>
      <c r="B549" s="19">
        <f>--(Raw_Data!B549="Yes")</f>
        <v>1</v>
      </c>
    </row>
    <row r="550" spans="1:2">
      <c r="A550" s="19">
        <f>Raw_Data!J550</f>
        <v>754</v>
      </c>
      <c r="B550" s="19">
        <f>--(Raw_Data!B550="Yes")</f>
        <v>0</v>
      </c>
    </row>
    <row r="551" spans="1:2">
      <c r="A551" s="19">
        <f>Raw_Data!J551</f>
        <v>757</v>
      </c>
      <c r="B551" s="19">
        <f>--(Raw_Data!B551="Yes")</f>
        <v>0</v>
      </c>
    </row>
    <row r="552" spans="1:2">
      <c r="A552" s="19">
        <f>Raw_Data!J552</f>
        <v>758</v>
      </c>
      <c r="B552" s="19">
        <f>--(Raw_Data!B552="Yes")</f>
        <v>0</v>
      </c>
    </row>
    <row r="553" spans="1:2">
      <c r="A553" s="19">
        <f>Raw_Data!J553</f>
        <v>760</v>
      </c>
      <c r="B553" s="19">
        <f>--(Raw_Data!B553="Yes")</f>
        <v>0</v>
      </c>
    </row>
    <row r="554" spans="1:2">
      <c r="A554" s="19">
        <f>Raw_Data!J554</f>
        <v>762</v>
      </c>
      <c r="B554" s="19">
        <f>--(Raw_Data!B554="Yes")</f>
        <v>0</v>
      </c>
    </row>
    <row r="555" spans="1:2">
      <c r="A555" s="19">
        <f>Raw_Data!J555</f>
        <v>763</v>
      </c>
      <c r="B555" s="19">
        <f>--(Raw_Data!B555="Yes")</f>
        <v>0</v>
      </c>
    </row>
    <row r="556" spans="1:2">
      <c r="A556" s="19">
        <f>Raw_Data!J556</f>
        <v>764</v>
      </c>
      <c r="B556" s="19">
        <f>--(Raw_Data!B556="Yes")</f>
        <v>0</v>
      </c>
    </row>
    <row r="557" spans="1:2">
      <c r="A557" s="19">
        <f>Raw_Data!J557</f>
        <v>766</v>
      </c>
      <c r="B557" s="19">
        <f>--(Raw_Data!B557="Yes")</f>
        <v>0</v>
      </c>
    </row>
    <row r="558" spans="1:2">
      <c r="A558" s="19">
        <f>Raw_Data!J558</f>
        <v>769</v>
      </c>
      <c r="B558" s="19">
        <f>--(Raw_Data!B558="Yes")</f>
        <v>0</v>
      </c>
    </row>
    <row r="559" spans="1:2">
      <c r="A559" s="19">
        <f>Raw_Data!J559</f>
        <v>771</v>
      </c>
      <c r="B559" s="19">
        <f>--(Raw_Data!B559="Yes")</f>
        <v>0</v>
      </c>
    </row>
    <row r="560" spans="1:2">
      <c r="A560" s="19">
        <f>Raw_Data!J560</f>
        <v>772</v>
      </c>
      <c r="B560" s="19">
        <f>--(Raw_Data!B560="Yes")</f>
        <v>0</v>
      </c>
    </row>
    <row r="561" spans="1:2">
      <c r="A561" s="19">
        <f>Raw_Data!J561</f>
        <v>773</v>
      </c>
      <c r="B561" s="19">
        <f>--(Raw_Data!B561="Yes")</f>
        <v>0</v>
      </c>
    </row>
    <row r="562" spans="1:2">
      <c r="A562" s="19">
        <f>Raw_Data!J562</f>
        <v>775</v>
      </c>
      <c r="B562" s="19">
        <f>--(Raw_Data!B562="Yes")</f>
        <v>0</v>
      </c>
    </row>
    <row r="563" spans="1:2">
      <c r="A563" s="19">
        <f>Raw_Data!J563</f>
        <v>776</v>
      </c>
      <c r="B563" s="19">
        <f>--(Raw_Data!B563="Yes")</f>
        <v>0</v>
      </c>
    </row>
    <row r="564" spans="1:2">
      <c r="A564" s="19">
        <f>Raw_Data!J564</f>
        <v>780</v>
      </c>
      <c r="B564" s="19">
        <f>--(Raw_Data!B564="Yes")</f>
        <v>1</v>
      </c>
    </row>
    <row r="565" spans="1:2">
      <c r="A565" s="19">
        <f>Raw_Data!J565</f>
        <v>781</v>
      </c>
      <c r="B565" s="19">
        <f>--(Raw_Data!B565="Yes")</f>
        <v>0</v>
      </c>
    </row>
    <row r="566" spans="1:2">
      <c r="A566" s="19">
        <f>Raw_Data!J566</f>
        <v>783</v>
      </c>
      <c r="B566" s="19">
        <f>--(Raw_Data!B566="Yes")</f>
        <v>0</v>
      </c>
    </row>
    <row r="567" spans="1:2">
      <c r="A567" s="19">
        <f>Raw_Data!J567</f>
        <v>784</v>
      </c>
      <c r="B567" s="19">
        <f>--(Raw_Data!B567="Yes")</f>
        <v>0</v>
      </c>
    </row>
    <row r="568" spans="1:2">
      <c r="A568" s="19">
        <f>Raw_Data!J568</f>
        <v>785</v>
      </c>
      <c r="B568" s="19">
        <f>--(Raw_Data!B568="Yes")</f>
        <v>1</v>
      </c>
    </row>
    <row r="569" spans="1:2">
      <c r="A569" s="19">
        <f>Raw_Data!J569</f>
        <v>786</v>
      </c>
      <c r="B569" s="19">
        <f>--(Raw_Data!B569="Yes")</f>
        <v>0</v>
      </c>
    </row>
    <row r="570" spans="1:2">
      <c r="A570" s="19">
        <f>Raw_Data!J570</f>
        <v>787</v>
      </c>
      <c r="B570" s="19">
        <f>--(Raw_Data!B570="Yes")</f>
        <v>1</v>
      </c>
    </row>
    <row r="571" spans="1:2">
      <c r="A571" s="19">
        <f>Raw_Data!J571</f>
        <v>789</v>
      </c>
      <c r="B571" s="19">
        <f>--(Raw_Data!B571="Yes")</f>
        <v>0</v>
      </c>
    </row>
    <row r="572" spans="1:2">
      <c r="A572" s="19">
        <f>Raw_Data!J572</f>
        <v>791</v>
      </c>
      <c r="B572" s="19">
        <f>--(Raw_Data!B572="Yes")</f>
        <v>0</v>
      </c>
    </row>
    <row r="573" spans="1:2">
      <c r="A573" s="19">
        <f>Raw_Data!J573</f>
        <v>792</v>
      </c>
      <c r="B573" s="19">
        <f>--(Raw_Data!B573="Yes")</f>
        <v>0</v>
      </c>
    </row>
    <row r="574" spans="1:2">
      <c r="A574" s="19">
        <f>Raw_Data!J574</f>
        <v>793</v>
      </c>
      <c r="B574" s="19">
        <f>--(Raw_Data!B574="Yes")</f>
        <v>0</v>
      </c>
    </row>
    <row r="575" spans="1:2">
      <c r="A575" s="19">
        <f>Raw_Data!J575</f>
        <v>796</v>
      </c>
      <c r="B575" s="19">
        <f>--(Raw_Data!B575="Yes")</f>
        <v>1</v>
      </c>
    </row>
    <row r="576" spans="1:2">
      <c r="A576" s="19">
        <f>Raw_Data!J576</f>
        <v>797</v>
      </c>
      <c r="B576" s="19">
        <f>--(Raw_Data!B576="Yes")</f>
        <v>0</v>
      </c>
    </row>
    <row r="577" spans="1:2">
      <c r="A577" s="19">
        <f>Raw_Data!J577</f>
        <v>799</v>
      </c>
      <c r="B577" s="19">
        <f>--(Raw_Data!B577="Yes")</f>
        <v>0</v>
      </c>
    </row>
    <row r="578" spans="1:2">
      <c r="A578" s="19">
        <f>Raw_Data!J578</f>
        <v>800</v>
      </c>
      <c r="B578" s="19">
        <f>--(Raw_Data!B578="Yes")</f>
        <v>0</v>
      </c>
    </row>
    <row r="579" spans="1:2">
      <c r="A579" s="19">
        <f>Raw_Data!J579</f>
        <v>802</v>
      </c>
      <c r="B579" s="19">
        <f>--(Raw_Data!B579="Yes")</f>
        <v>0</v>
      </c>
    </row>
    <row r="580" spans="1:2">
      <c r="A580" s="19">
        <f>Raw_Data!J580</f>
        <v>803</v>
      </c>
      <c r="B580" s="19">
        <f>--(Raw_Data!B580="Yes")</f>
        <v>0</v>
      </c>
    </row>
    <row r="581" spans="1:2">
      <c r="A581" s="19">
        <f>Raw_Data!J581</f>
        <v>804</v>
      </c>
      <c r="B581" s="19">
        <f>--(Raw_Data!B581="Yes")</f>
        <v>0</v>
      </c>
    </row>
    <row r="582" spans="1:2">
      <c r="A582" s="19">
        <f>Raw_Data!J582</f>
        <v>805</v>
      </c>
      <c r="B582" s="19">
        <f>--(Raw_Data!B582="Yes")</f>
        <v>0</v>
      </c>
    </row>
    <row r="583" spans="1:2">
      <c r="A583" s="19">
        <f>Raw_Data!J583</f>
        <v>806</v>
      </c>
      <c r="B583" s="19">
        <f>--(Raw_Data!B583="Yes")</f>
        <v>0</v>
      </c>
    </row>
    <row r="584" spans="1:2">
      <c r="A584" s="19">
        <f>Raw_Data!J584</f>
        <v>807</v>
      </c>
      <c r="B584" s="19">
        <f>--(Raw_Data!B584="Yes")</f>
        <v>0</v>
      </c>
    </row>
    <row r="585" spans="1:2">
      <c r="A585" s="19">
        <f>Raw_Data!J585</f>
        <v>808</v>
      </c>
      <c r="B585" s="19">
        <f>--(Raw_Data!B585="Yes")</f>
        <v>0</v>
      </c>
    </row>
    <row r="586" spans="1:2">
      <c r="A586" s="19">
        <f>Raw_Data!J586</f>
        <v>809</v>
      </c>
      <c r="B586" s="19">
        <f>--(Raw_Data!B586="Yes")</f>
        <v>0</v>
      </c>
    </row>
    <row r="587" spans="1:2">
      <c r="A587" s="19">
        <f>Raw_Data!J587</f>
        <v>811</v>
      </c>
      <c r="B587" s="19">
        <f>--(Raw_Data!B587="Yes")</f>
        <v>1</v>
      </c>
    </row>
    <row r="588" spans="1:2">
      <c r="A588" s="19">
        <f>Raw_Data!J588</f>
        <v>812</v>
      </c>
      <c r="B588" s="19">
        <f>--(Raw_Data!B588="Yes")</f>
        <v>0</v>
      </c>
    </row>
    <row r="589" spans="1:2">
      <c r="A589" s="19">
        <f>Raw_Data!J589</f>
        <v>813</v>
      </c>
      <c r="B589" s="19">
        <f>--(Raw_Data!B589="Yes")</f>
        <v>0</v>
      </c>
    </row>
    <row r="590" spans="1:2">
      <c r="A590" s="19">
        <f>Raw_Data!J590</f>
        <v>815</v>
      </c>
      <c r="B590" s="19">
        <f>--(Raw_Data!B590="Yes")</f>
        <v>0</v>
      </c>
    </row>
    <row r="591" spans="1:2">
      <c r="A591" s="19">
        <f>Raw_Data!J591</f>
        <v>816</v>
      </c>
      <c r="B591" s="19">
        <f>--(Raw_Data!B591="Yes")</f>
        <v>1</v>
      </c>
    </row>
    <row r="592" spans="1:2">
      <c r="A592" s="19">
        <f>Raw_Data!J592</f>
        <v>817</v>
      </c>
      <c r="B592" s="19">
        <f>--(Raw_Data!B592="Yes")</f>
        <v>0</v>
      </c>
    </row>
    <row r="593" spans="1:2">
      <c r="A593" s="19">
        <f>Raw_Data!J593</f>
        <v>819</v>
      </c>
      <c r="B593" s="19">
        <f>--(Raw_Data!B593="Yes")</f>
        <v>1</v>
      </c>
    </row>
    <row r="594" spans="1:2">
      <c r="A594" s="19">
        <f>Raw_Data!J594</f>
        <v>820</v>
      </c>
      <c r="B594" s="19">
        <f>--(Raw_Data!B594="Yes")</f>
        <v>0</v>
      </c>
    </row>
    <row r="595" spans="1:2">
      <c r="A595" s="19">
        <f>Raw_Data!J595</f>
        <v>823</v>
      </c>
      <c r="B595" s="19">
        <f>--(Raw_Data!B595="Yes")</f>
        <v>0</v>
      </c>
    </row>
    <row r="596" spans="1:2">
      <c r="A596" s="19">
        <f>Raw_Data!J596</f>
        <v>824</v>
      </c>
      <c r="B596" s="19">
        <f>--(Raw_Data!B596="Yes")</f>
        <v>0</v>
      </c>
    </row>
    <row r="597" spans="1:2">
      <c r="A597" s="19">
        <f>Raw_Data!J597</f>
        <v>825</v>
      </c>
      <c r="B597" s="19">
        <f>--(Raw_Data!B597="Yes")</f>
        <v>1</v>
      </c>
    </row>
    <row r="598" spans="1:2">
      <c r="A598" s="19">
        <f>Raw_Data!J598</f>
        <v>826</v>
      </c>
      <c r="B598" s="19">
        <f>--(Raw_Data!B598="Yes")</f>
        <v>0</v>
      </c>
    </row>
    <row r="599" spans="1:2">
      <c r="A599" s="19">
        <f>Raw_Data!J599</f>
        <v>827</v>
      </c>
      <c r="B599" s="19">
        <f>--(Raw_Data!B599="Yes")</f>
        <v>0</v>
      </c>
    </row>
    <row r="600" spans="1:2">
      <c r="A600" s="19">
        <f>Raw_Data!J600</f>
        <v>828</v>
      </c>
      <c r="B600" s="19">
        <f>--(Raw_Data!B600="Yes")</f>
        <v>1</v>
      </c>
    </row>
    <row r="601" spans="1:2">
      <c r="A601" s="19">
        <f>Raw_Data!J601</f>
        <v>829</v>
      </c>
      <c r="B601" s="19">
        <f>--(Raw_Data!B601="Yes")</f>
        <v>0</v>
      </c>
    </row>
    <row r="602" spans="1:2">
      <c r="A602" s="19">
        <f>Raw_Data!J602</f>
        <v>830</v>
      </c>
      <c r="B602" s="19">
        <f>--(Raw_Data!B602="Yes")</f>
        <v>0</v>
      </c>
    </row>
    <row r="603" spans="1:2">
      <c r="A603" s="19">
        <f>Raw_Data!J603</f>
        <v>832</v>
      </c>
      <c r="B603" s="19">
        <f>--(Raw_Data!B603="Yes")</f>
        <v>0</v>
      </c>
    </row>
    <row r="604" spans="1:2">
      <c r="A604" s="19">
        <f>Raw_Data!J604</f>
        <v>833</v>
      </c>
      <c r="B604" s="19">
        <f>--(Raw_Data!B604="Yes")</f>
        <v>0</v>
      </c>
    </row>
    <row r="605" spans="1:2">
      <c r="A605" s="19">
        <f>Raw_Data!J605</f>
        <v>834</v>
      </c>
      <c r="B605" s="19">
        <f>--(Raw_Data!B605="Yes")</f>
        <v>0</v>
      </c>
    </row>
    <row r="606" spans="1:2">
      <c r="A606" s="19">
        <f>Raw_Data!J606</f>
        <v>836</v>
      </c>
      <c r="B606" s="19">
        <f>--(Raw_Data!B606="Yes")</f>
        <v>0</v>
      </c>
    </row>
    <row r="607" spans="1:2">
      <c r="A607" s="19">
        <f>Raw_Data!J607</f>
        <v>837</v>
      </c>
      <c r="B607" s="19">
        <f>--(Raw_Data!B607="Yes")</f>
        <v>0</v>
      </c>
    </row>
    <row r="608" spans="1:2">
      <c r="A608" s="19">
        <f>Raw_Data!J608</f>
        <v>838</v>
      </c>
      <c r="B608" s="19">
        <f>--(Raw_Data!B608="Yes")</f>
        <v>0</v>
      </c>
    </row>
    <row r="609" spans="1:2">
      <c r="A609" s="19">
        <f>Raw_Data!J609</f>
        <v>840</v>
      </c>
      <c r="B609" s="19">
        <f>--(Raw_Data!B609="Yes")</f>
        <v>1</v>
      </c>
    </row>
    <row r="610" spans="1:2">
      <c r="A610" s="19">
        <f>Raw_Data!J610</f>
        <v>842</v>
      </c>
      <c r="B610" s="19">
        <f>--(Raw_Data!B610="Yes")</f>
        <v>1</v>
      </c>
    </row>
    <row r="611" spans="1:2">
      <c r="A611" s="19">
        <f>Raw_Data!J611</f>
        <v>843</v>
      </c>
      <c r="B611" s="19">
        <f>--(Raw_Data!B611="Yes")</f>
        <v>0</v>
      </c>
    </row>
    <row r="612" spans="1:2">
      <c r="A612" s="19">
        <f>Raw_Data!J612</f>
        <v>844</v>
      </c>
      <c r="B612" s="19">
        <f>--(Raw_Data!B612="Yes")</f>
        <v>0</v>
      </c>
    </row>
    <row r="613" spans="1:2">
      <c r="A613" s="19">
        <f>Raw_Data!J613</f>
        <v>845</v>
      </c>
      <c r="B613" s="19">
        <f>--(Raw_Data!B613="Yes")</f>
        <v>0</v>
      </c>
    </row>
    <row r="614" spans="1:2">
      <c r="A614" s="19">
        <f>Raw_Data!J614</f>
        <v>846</v>
      </c>
      <c r="B614" s="19">
        <f>--(Raw_Data!B614="Yes")</f>
        <v>0</v>
      </c>
    </row>
    <row r="615" spans="1:2">
      <c r="A615" s="19">
        <f>Raw_Data!J615</f>
        <v>847</v>
      </c>
      <c r="B615" s="19">
        <f>--(Raw_Data!B615="Yes")</f>
        <v>0</v>
      </c>
    </row>
    <row r="616" spans="1:2">
      <c r="A616" s="19">
        <f>Raw_Data!J616</f>
        <v>848</v>
      </c>
      <c r="B616" s="19">
        <f>--(Raw_Data!B616="Yes")</f>
        <v>1</v>
      </c>
    </row>
    <row r="617" spans="1:2">
      <c r="A617" s="19">
        <f>Raw_Data!J617</f>
        <v>850</v>
      </c>
      <c r="B617" s="19">
        <f>--(Raw_Data!B617="Yes")</f>
        <v>0</v>
      </c>
    </row>
    <row r="618" spans="1:2">
      <c r="A618" s="19">
        <f>Raw_Data!J618</f>
        <v>851</v>
      </c>
      <c r="B618" s="19">
        <f>--(Raw_Data!B618="Yes")</f>
        <v>0</v>
      </c>
    </row>
    <row r="619" spans="1:2">
      <c r="A619" s="19">
        <f>Raw_Data!J619</f>
        <v>852</v>
      </c>
      <c r="B619" s="19">
        <f>--(Raw_Data!B619="Yes")</f>
        <v>0</v>
      </c>
    </row>
    <row r="620" spans="1:2">
      <c r="A620" s="19">
        <f>Raw_Data!J620</f>
        <v>854</v>
      </c>
      <c r="B620" s="19">
        <f>--(Raw_Data!B620="Yes")</f>
        <v>0</v>
      </c>
    </row>
    <row r="621" spans="1:2">
      <c r="A621" s="19">
        <f>Raw_Data!J621</f>
        <v>855</v>
      </c>
      <c r="B621" s="19">
        <f>--(Raw_Data!B621="Yes")</f>
        <v>0</v>
      </c>
    </row>
    <row r="622" spans="1:2">
      <c r="A622" s="19">
        <f>Raw_Data!J622</f>
        <v>856</v>
      </c>
      <c r="B622" s="19">
        <f>--(Raw_Data!B622="Yes")</f>
        <v>0</v>
      </c>
    </row>
    <row r="623" spans="1:2">
      <c r="A623" s="19">
        <f>Raw_Data!J623</f>
        <v>857</v>
      </c>
      <c r="B623" s="19">
        <f>--(Raw_Data!B623="Yes")</f>
        <v>0</v>
      </c>
    </row>
    <row r="624" spans="1:2">
      <c r="A624" s="19">
        <f>Raw_Data!J624</f>
        <v>859</v>
      </c>
      <c r="B624" s="19">
        <f>--(Raw_Data!B624="Yes")</f>
        <v>0</v>
      </c>
    </row>
    <row r="625" spans="1:2">
      <c r="A625" s="19">
        <f>Raw_Data!J625</f>
        <v>861</v>
      </c>
      <c r="B625" s="19">
        <f>--(Raw_Data!B625="Yes")</f>
        <v>0</v>
      </c>
    </row>
    <row r="626" spans="1:2">
      <c r="A626" s="19">
        <f>Raw_Data!J626</f>
        <v>862</v>
      </c>
      <c r="B626" s="19">
        <f>--(Raw_Data!B626="Yes")</f>
        <v>0</v>
      </c>
    </row>
    <row r="627" spans="1:2">
      <c r="A627" s="19">
        <f>Raw_Data!J627</f>
        <v>864</v>
      </c>
      <c r="B627" s="19">
        <f>--(Raw_Data!B627="Yes")</f>
        <v>0</v>
      </c>
    </row>
    <row r="628" spans="1:2">
      <c r="A628" s="19">
        <f>Raw_Data!J628</f>
        <v>865</v>
      </c>
      <c r="B628" s="19">
        <f>--(Raw_Data!B628="Yes")</f>
        <v>0</v>
      </c>
    </row>
    <row r="629" spans="1:2">
      <c r="A629" s="19">
        <f>Raw_Data!J629</f>
        <v>867</v>
      </c>
      <c r="B629" s="19">
        <f>--(Raw_Data!B629="Yes")</f>
        <v>0</v>
      </c>
    </row>
    <row r="630" spans="1:2">
      <c r="A630" s="19">
        <f>Raw_Data!J630</f>
        <v>868</v>
      </c>
      <c r="B630" s="19">
        <f>--(Raw_Data!B630="Yes")</f>
        <v>0</v>
      </c>
    </row>
    <row r="631" spans="1:2">
      <c r="A631" s="19">
        <f>Raw_Data!J631</f>
        <v>869</v>
      </c>
      <c r="B631" s="19">
        <f>--(Raw_Data!B631="Yes")</f>
        <v>0</v>
      </c>
    </row>
    <row r="632" spans="1:2">
      <c r="A632" s="19">
        <f>Raw_Data!J632</f>
        <v>872</v>
      </c>
      <c r="B632" s="19">
        <f>--(Raw_Data!B632="Yes")</f>
        <v>0</v>
      </c>
    </row>
    <row r="633" spans="1:2">
      <c r="A633" s="19">
        <f>Raw_Data!J633</f>
        <v>874</v>
      </c>
      <c r="B633" s="19">
        <f>--(Raw_Data!B633="Yes")</f>
        <v>0</v>
      </c>
    </row>
    <row r="634" spans="1:2">
      <c r="A634" s="19">
        <f>Raw_Data!J634</f>
        <v>875</v>
      </c>
      <c r="B634" s="19">
        <f>--(Raw_Data!B634="Yes")</f>
        <v>0</v>
      </c>
    </row>
    <row r="635" spans="1:2">
      <c r="A635" s="19">
        <f>Raw_Data!J635</f>
        <v>878</v>
      </c>
      <c r="B635" s="19">
        <f>--(Raw_Data!B635="Yes")</f>
        <v>0</v>
      </c>
    </row>
    <row r="636" spans="1:2">
      <c r="A636" s="19">
        <f>Raw_Data!J636</f>
        <v>879</v>
      </c>
      <c r="B636" s="19">
        <f>--(Raw_Data!B636="Yes")</f>
        <v>0</v>
      </c>
    </row>
    <row r="637" spans="1:2">
      <c r="A637" s="19">
        <f>Raw_Data!J637</f>
        <v>880</v>
      </c>
      <c r="B637" s="19">
        <f>--(Raw_Data!B637="Yes")</f>
        <v>0</v>
      </c>
    </row>
    <row r="638" spans="1:2">
      <c r="A638" s="19">
        <f>Raw_Data!J638</f>
        <v>881</v>
      </c>
      <c r="B638" s="19">
        <f>--(Raw_Data!B638="Yes")</f>
        <v>1</v>
      </c>
    </row>
    <row r="639" spans="1:2">
      <c r="A639" s="19">
        <f>Raw_Data!J639</f>
        <v>882</v>
      </c>
      <c r="B639" s="19">
        <f>--(Raw_Data!B639="Yes")</f>
        <v>0</v>
      </c>
    </row>
    <row r="640" spans="1:2">
      <c r="A640" s="19">
        <f>Raw_Data!J640</f>
        <v>885</v>
      </c>
      <c r="B640" s="19">
        <f>--(Raw_Data!B640="Yes")</f>
        <v>0</v>
      </c>
    </row>
    <row r="641" spans="1:2">
      <c r="A641" s="19">
        <f>Raw_Data!J641</f>
        <v>887</v>
      </c>
      <c r="B641" s="19">
        <f>--(Raw_Data!B641="Yes")</f>
        <v>0</v>
      </c>
    </row>
    <row r="642" spans="1:2">
      <c r="A642" s="19">
        <f>Raw_Data!J642</f>
        <v>888</v>
      </c>
      <c r="B642" s="19">
        <f>--(Raw_Data!B642="Yes")</f>
        <v>0</v>
      </c>
    </row>
    <row r="643" spans="1:2">
      <c r="A643" s="19">
        <f>Raw_Data!J643</f>
        <v>889</v>
      </c>
      <c r="B643" s="19">
        <f>--(Raw_Data!B643="Yes")</f>
        <v>0</v>
      </c>
    </row>
    <row r="644" spans="1:2">
      <c r="A644" s="19">
        <f>Raw_Data!J644</f>
        <v>893</v>
      </c>
      <c r="B644" s="19">
        <f>--(Raw_Data!B644="Yes")</f>
        <v>0</v>
      </c>
    </row>
    <row r="645" spans="1:2">
      <c r="A645" s="19">
        <f>Raw_Data!J645</f>
        <v>894</v>
      </c>
      <c r="B645" s="19">
        <f>--(Raw_Data!B645="Yes")</f>
        <v>0</v>
      </c>
    </row>
    <row r="646" spans="1:2">
      <c r="A646" s="19">
        <f>Raw_Data!J646</f>
        <v>895</v>
      </c>
      <c r="B646" s="19">
        <f>--(Raw_Data!B646="Yes")</f>
        <v>0</v>
      </c>
    </row>
    <row r="647" spans="1:2">
      <c r="A647" s="19">
        <f>Raw_Data!J647</f>
        <v>896</v>
      </c>
      <c r="B647" s="19">
        <f>--(Raw_Data!B647="Yes")</f>
        <v>1</v>
      </c>
    </row>
    <row r="648" spans="1:2">
      <c r="A648" s="19">
        <f>Raw_Data!J648</f>
        <v>897</v>
      </c>
      <c r="B648" s="19">
        <f>--(Raw_Data!B648="Yes")</f>
        <v>0</v>
      </c>
    </row>
    <row r="649" spans="1:2">
      <c r="A649" s="19">
        <f>Raw_Data!J649</f>
        <v>899</v>
      </c>
      <c r="B649" s="19">
        <f>--(Raw_Data!B649="Yes")</f>
        <v>0</v>
      </c>
    </row>
    <row r="650" spans="1:2">
      <c r="A650" s="19">
        <f>Raw_Data!J650</f>
        <v>900</v>
      </c>
      <c r="B650" s="19">
        <f>--(Raw_Data!B650="Yes")</f>
        <v>0</v>
      </c>
    </row>
    <row r="651" spans="1:2">
      <c r="A651" s="19">
        <f>Raw_Data!J651</f>
        <v>901</v>
      </c>
      <c r="B651" s="19">
        <f>--(Raw_Data!B651="Yes")</f>
        <v>0</v>
      </c>
    </row>
    <row r="652" spans="1:2">
      <c r="A652" s="19">
        <f>Raw_Data!J652</f>
        <v>902</v>
      </c>
      <c r="B652" s="19">
        <f>--(Raw_Data!B652="Yes")</f>
        <v>0</v>
      </c>
    </row>
    <row r="653" spans="1:2">
      <c r="A653" s="19">
        <f>Raw_Data!J653</f>
        <v>903</v>
      </c>
      <c r="B653" s="19">
        <f>--(Raw_Data!B653="Yes")</f>
        <v>0</v>
      </c>
    </row>
    <row r="654" spans="1:2">
      <c r="A654" s="19">
        <f>Raw_Data!J654</f>
        <v>904</v>
      </c>
      <c r="B654" s="19">
        <f>--(Raw_Data!B654="Yes")</f>
        <v>0</v>
      </c>
    </row>
    <row r="655" spans="1:2">
      <c r="A655" s="19">
        <f>Raw_Data!J655</f>
        <v>905</v>
      </c>
      <c r="B655" s="19">
        <f>--(Raw_Data!B655="Yes")</f>
        <v>0</v>
      </c>
    </row>
    <row r="656" spans="1:2">
      <c r="A656" s="19">
        <f>Raw_Data!J656</f>
        <v>909</v>
      </c>
      <c r="B656" s="19">
        <f>--(Raw_Data!B656="Yes")</f>
        <v>0</v>
      </c>
    </row>
    <row r="657" spans="1:2">
      <c r="A657" s="19">
        <f>Raw_Data!J657</f>
        <v>910</v>
      </c>
      <c r="B657" s="19">
        <f>--(Raw_Data!B657="Yes")</f>
        <v>0</v>
      </c>
    </row>
    <row r="658" spans="1:2">
      <c r="A658" s="19">
        <f>Raw_Data!J658</f>
        <v>911</v>
      </c>
      <c r="B658" s="19">
        <f>--(Raw_Data!B658="Yes")</f>
        <v>1</v>
      </c>
    </row>
    <row r="659" spans="1:2">
      <c r="A659" s="19">
        <f>Raw_Data!J659</f>
        <v>912</v>
      </c>
      <c r="B659" s="19">
        <f>--(Raw_Data!B659="Yes")</f>
        <v>0</v>
      </c>
    </row>
    <row r="660" spans="1:2">
      <c r="A660" s="19">
        <f>Raw_Data!J660</f>
        <v>913</v>
      </c>
      <c r="B660" s="19">
        <f>--(Raw_Data!B660="Yes")</f>
        <v>0</v>
      </c>
    </row>
    <row r="661" spans="1:2">
      <c r="A661" s="19">
        <f>Raw_Data!J661</f>
        <v>916</v>
      </c>
      <c r="B661" s="19">
        <f>--(Raw_Data!B661="Yes")</f>
        <v>0</v>
      </c>
    </row>
    <row r="662" spans="1:2">
      <c r="A662" s="19">
        <f>Raw_Data!J662</f>
        <v>918</v>
      </c>
      <c r="B662" s="19">
        <f>--(Raw_Data!B662="Yes")</f>
        <v>1</v>
      </c>
    </row>
    <row r="663" spans="1:2">
      <c r="A663" s="19">
        <f>Raw_Data!J663</f>
        <v>920</v>
      </c>
      <c r="B663" s="19">
        <f>--(Raw_Data!B663="Yes")</f>
        <v>0</v>
      </c>
    </row>
    <row r="664" spans="1:2">
      <c r="A664" s="19">
        <f>Raw_Data!J664</f>
        <v>922</v>
      </c>
      <c r="B664" s="19">
        <f>--(Raw_Data!B664="Yes")</f>
        <v>1</v>
      </c>
    </row>
    <row r="665" spans="1:2">
      <c r="A665" s="19">
        <f>Raw_Data!J665</f>
        <v>923</v>
      </c>
      <c r="B665" s="19">
        <f>--(Raw_Data!B665="Yes")</f>
        <v>1</v>
      </c>
    </row>
    <row r="666" spans="1:2">
      <c r="A666" s="19">
        <f>Raw_Data!J666</f>
        <v>924</v>
      </c>
      <c r="B666" s="19">
        <f>--(Raw_Data!B666="Yes")</f>
        <v>0</v>
      </c>
    </row>
    <row r="667" spans="1:2">
      <c r="A667" s="19">
        <f>Raw_Data!J667</f>
        <v>925</v>
      </c>
      <c r="B667" s="19">
        <f>--(Raw_Data!B667="Yes")</f>
        <v>0</v>
      </c>
    </row>
    <row r="668" spans="1:2">
      <c r="A668" s="19">
        <f>Raw_Data!J668</f>
        <v>926</v>
      </c>
      <c r="B668" s="19">
        <f>--(Raw_Data!B668="Yes")</f>
        <v>1</v>
      </c>
    </row>
    <row r="669" spans="1:2">
      <c r="A669" s="19">
        <f>Raw_Data!J669</f>
        <v>927</v>
      </c>
      <c r="B669" s="19">
        <f>--(Raw_Data!B669="Yes")</f>
        <v>1</v>
      </c>
    </row>
    <row r="670" spans="1:2">
      <c r="A670" s="19">
        <f>Raw_Data!J670</f>
        <v>930</v>
      </c>
      <c r="B670" s="19">
        <f>--(Raw_Data!B670="Yes")</f>
        <v>0</v>
      </c>
    </row>
    <row r="671" spans="1:2">
      <c r="A671" s="19">
        <f>Raw_Data!J671</f>
        <v>932</v>
      </c>
      <c r="B671" s="19">
        <f>--(Raw_Data!B671="Yes")</f>
        <v>1</v>
      </c>
    </row>
    <row r="672" spans="1:2">
      <c r="A672" s="19">
        <f>Raw_Data!J672</f>
        <v>933</v>
      </c>
      <c r="B672" s="19">
        <f>--(Raw_Data!B672="Yes")</f>
        <v>0</v>
      </c>
    </row>
    <row r="673" spans="1:2">
      <c r="A673" s="19">
        <f>Raw_Data!J673</f>
        <v>934</v>
      </c>
      <c r="B673" s="19">
        <f>--(Raw_Data!B673="Yes")</f>
        <v>0</v>
      </c>
    </row>
    <row r="674" spans="1:2">
      <c r="A674" s="19">
        <f>Raw_Data!J674</f>
        <v>936</v>
      </c>
      <c r="B674" s="19">
        <f>--(Raw_Data!B674="Yes")</f>
        <v>0</v>
      </c>
    </row>
    <row r="675" spans="1:2">
      <c r="A675" s="19">
        <f>Raw_Data!J675</f>
        <v>939</v>
      </c>
      <c r="B675" s="19">
        <f>--(Raw_Data!B675="Yes")</f>
        <v>0</v>
      </c>
    </row>
    <row r="676" spans="1:2">
      <c r="A676" s="19">
        <f>Raw_Data!J676</f>
        <v>940</v>
      </c>
      <c r="B676" s="19">
        <f>--(Raw_Data!B676="Yes")</f>
        <v>0</v>
      </c>
    </row>
    <row r="677" spans="1:2">
      <c r="A677" s="19">
        <f>Raw_Data!J677</f>
        <v>941</v>
      </c>
      <c r="B677" s="19">
        <f>--(Raw_Data!B677="Yes")</f>
        <v>0</v>
      </c>
    </row>
    <row r="678" spans="1:2">
      <c r="A678" s="19">
        <f>Raw_Data!J678</f>
        <v>942</v>
      </c>
      <c r="B678" s="19">
        <f>--(Raw_Data!B678="Yes")</f>
        <v>0</v>
      </c>
    </row>
    <row r="679" spans="1:2">
      <c r="A679" s="19">
        <f>Raw_Data!J679</f>
        <v>944</v>
      </c>
      <c r="B679" s="19">
        <f>--(Raw_Data!B679="Yes")</f>
        <v>0</v>
      </c>
    </row>
    <row r="680" spans="1:2">
      <c r="A680" s="19">
        <f>Raw_Data!J680</f>
        <v>945</v>
      </c>
      <c r="B680" s="19">
        <f>--(Raw_Data!B680="Yes")</f>
        <v>0</v>
      </c>
    </row>
    <row r="681" spans="1:2">
      <c r="A681" s="19">
        <f>Raw_Data!J681</f>
        <v>947</v>
      </c>
      <c r="B681" s="19">
        <f>--(Raw_Data!B681="Yes")</f>
        <v>0</v>
      </c>
    </row>
    <row r="682" spans="1:2">
      <c r="A682" s="19">
        <f>Raw_Data!J682</f>
        <v>949</v>
      </c>
      <c r="B682" s="19">
        <f>--(Raw_Data!B682="Yes")</f>
        <v>0</v>
      </c>
    </row>
    <row r="683" spans="1:2">
      <c r="A683" s="19">
        <f>Raw_Data!J683</f>
        <v>950</v>
      </c>
      <c r="B683" s="19">
        <f>--(Raw_Data!B683="Yes")</f>
        <v>0</v>
      </c>
    </row>
    <row r="684" spans="1:2">
      <c r="A684" s="19">
        <f>Raw_Data!J684</f>
        <v>951</v>
      </c>
      <c r="B684" s="19">
        <f>--(Raw_Data!B684="Yes")</f>
        <v>0</v>
      </c>
    </row>
    <row r="685" spans="1:2">
      <c r="A685" s="19">
        <f>Raw_Data!J685</f>
        <v>952</v>
      </c>
      <c r="B685" s="19">
        <f>--(Raw_Data!B685="Yes")</f>
        <v>1</v>
      </c>
    </row>
    <row r="686" spans="1:2">
      <c r="A686" s="19">
        <f>Raw_Data!J686</f>
        <v>954</v>
      </c>
      <c r="B686" s="19">
        <f>--(Raw_Data!B686="Yes")</f>
        <v>0</v>
      </c>
    </row>
    <row r="687" spans="1:2">
      <c r="A687" s="19">
        <f>Raw_Data!J687</f>
        <v>956</v>
      </c>
      <c r="B687" s="19">
        <f>--(Raw_Data!B687="Yes")</f>
        <v>0</v>
      </c>
    </row>
    <row r="688" spans="1:2">
      <c r="A688" s="19">
        <f>Raw_Data!J688</f>
        <v>957</v>
      </c>
      <c r="B688" s="19">
        <f>--(Raw_Data!B688="Yes")</f>
        <v>0</v>
      </c>
    </row>
    <row r="689" spans="1:2">
      <c r="A689" s="19">
        <f>Raw_Data!J689</f>
        <v>958</v>
      </c>
      <c r="B689" s="19">
        <f>--(Raw_Data!B689="Yes")</f>
        <v>0</v>
      </c>
    </row>
    <row r="690" spans="1:2">
      <c r="A690" s="19">
        <f>Raw_Data!J690</f>
        <v>959</v>
      </c>
      <c r="B690" s="19">
        <f>--(Raw_Data!B690="Yes")</f>
        <v>1</v>
      </c>
    </row>
    <row r="691" spans="1:2">
      <c r="A691" s="19">
        <f>Raw_Data!J691</f>
        <v>960</v>
      </c>
      <c r="B691" s="19">
        <f>--(Raw_Data!B691="Yes")</f>
        <v>1</v>
      </c>
    </row>
    <row r="692" spans="1:2">
      <c r="A692" s="19">
        <f>Raw_Data!J692</f>
        <v>961</v>
      </c>
      <c r="B692" s="19">
        <f>--(Raw_Data!B692="Yes")</f>
        <v>0</v>
      </c>
    </row>
    <row r="693" spans="1:2">
      <c r="A693" s="19">
        <f>Raw_Data!J693</f>
        <v>964</v>
      </c>
      <c r="B693" s="19">
        <f>--(Raw_Data!B693="Yes")</f>
        <v>0</v>
      </c>
    </row>
    <row r="694" spans="1:2">
      <c r="A694" s="19">
        <f>Raw_Data!J694</f>
        <v>966</v>
      </c>
      <c r="B694" s="19">
        <f>--(Raw_Data!B694="Yes")</f>
        <v>0</v>
      </c>
    </row>
    <row r="695" spans="1:2">
      <c r="A695" s="19">
        <f>Raw_Data!J695</f>
        <v>967</v>
      </c>
      <c r="B695" s="19">
        <f>--(Raw_Data!B695="Yes")</f>
        <v>1</v>
      </c>
    </row>
    <row r="696" spans="1:2">
      <c r="A696" s="19">
        <f>Raw_Data!J696</f>
        <v>969</v>
      </c>
      <c r="B696" s="19">
        <f>--(Raw_Data!B696="Yes")</f>
        <v>0</v>
      </c>
    </row>
    <row r="697" spans="1:2">
      <c r="A697" s="19">
        <f>Raw_Data!J697</f>
        <v>970</v>
      </c>
      <c r="B697" s="19">
        <f>--(Raw_Data!B697="Yes")</f>
        <v>1</v>
      </c>
    </row>
    <row r="698" spans="1:2">
      <c r="A698" s="19">
        <f>Raw_Data!J698</f>
        <v>972</v>
      </c>
      <c r="B698" s="19">
        <f>--(Raw_Data!B698="Yes")</f>
        <v>0</v>
      </c>
    </row>
    <row r="699" spans="1:2">
      <c r="A699" s="19">
        <f>Raw_Data!J699</f>
        <v>974</v>
      </c>
      <c r="B699" s="19">
        <f>--(Raw_Data!B699="Yes")</f>
        <v>0</v>
      </c>
    </row>
    <row r="700" spans="1:2">
      <c r="A700" s="19">
        <f>Raw_Data!J700</f>
        <v>975</v>
      </c>
      <c r="B700" s="19">
        <f>--(Raw_Data!B700="Yes")</f>
        <v>0</v>
      </c>
    </row>
    <row r="701" spans="1:2">
      <c r="A701" s="19">
        <f>Raw_Data!J701</f>
        <v>976</v>
      </c>
      <c r="B701" s="19">
        <f>--(Raw_Data!B701="Yes")</f>
        <v>0</v>
      </c>
    </row>
    <row r="702" spans="1:2">
      <c r="A702" s="19">
        <f>Raw_Data!J702</f>
        <v>977</v>
      </c>
      <c r="B702" s="19">
        <f>--(Raw_Data!B702="Yes")</f>
        <v>1</v>
      </c>
    </row>
    <row r="703" spans="1:2">
      <c r="A703" s="19">
        <f>Raw_Data!J703</f>
        <v>981</v>
      </c>
      <c r="B703" s="19">
        <f>--(Raw_Data!B703="Yes")</f>
        <v>0</v>
      </c>
    </row>
    <row r="704" spans="1:2">
      <c r="A704" s="19">
        <f>Raw_Data!J704</f>
        <v>982</v>
      </c>
      <c r="B704" s="19">
        <f>--(Raw_Data!B704="Yes")</f>
        <v>0</v>
      </c>
    </row>
    <row r="705" spans="1:2">
      <c r="A705" s="19">
        <f>Raw_Data!J705</f>
        <v>983</v>
      </c>
      <c r="B705" s="19">
        <f>--(Raw_Data!B705="Yes")</f>
        <v>0</v>
      </c>
    </row>
    <row r="706" spans="1:2">
      <c r="A706" s="19">
        <f>Raw_Data!J706</f>
        <v>984</v>
      </c>
      <c r="B706" s="19">
        <f>--(Raw_Data!B706="Yes")</f>
        <v>0</v>
      </c>
    </row>
    <row r="707" spans="1:2">
      <c r="A707" s="19">
        <f>Raw_Data!J707</f>
        <v>985</v>
      </c>
      <c r="B707" s="19">
        <f>--(Raw_Data!B707="Yes")</f>
        <v>0</v>
      </c>
    </row>
    <row r="708" spans="1:2">
      <c r="A708" s="19">
        <f>Raw_Data!J708</f>
        <v>986</v>
      </c>
      <c r="B708" s="19">
        <f>--(Raw_Data!B708="Yes")</f>
        <v>1</v>
      </c>
    </row>
    <row r="709" spans="1:2">
      <c r="A709" s="19">
        <f>Raw_Data!J709</f>
        <v>987</v>
      </c>
      <c r="B709" s="19">
        <f>--(Raw_Data!B709="Yes")</f>
        <v>0</v>
      </c>
    </row>
    <row r="710" spans="1:2">
      <c r="A710" s="19">
        <f>Raw_Data!J710</f>
        <v>990</v>
      </c>
      <c r="B710" s="19">
        <f>--(Raw_Data!B710="Yes")</f>
        <v>0</v>
      </c>
    </row>
    <row r="711" spans="1:2">
      <c r="A711" s="19">
        <f>Raw_Data!J711</f>
        <v>991</v>
      </c>
      <c r="B711" s="19">
        <f>--(Raw_Data!B711="Yes")</f>
        <v>1</v>
      </c>
    </row>
    <row r="712" spans="1:2">
      <c r="A712" s="19">
        <f>Raw_Data!J712</f>
        <v>992</v>
      </c>
      <c r="B712" s="19">
        <f>--(Raw_Data!B712="Yes")</f>
        <v>0</v>
      </c>
    </row>
    <row r="713" spans="1:2">
      <c r="A713" s="19">
        <f>Raw_Data!J713</f>
        <v>994</v>
      </c>
      <c r="B713" s="19">
        <f>--(Raw_Data!B713="Yes")</f>
        <v>1</v>
      </c>
    </row>
    <row r="714" spans="1:2">
      <c r="A714" s="19">
        <f>Raw_Data!J714</f>
        <v>995</v>
      </c>
      <c r="B714" s="19">
        <f>--(Raw_Data!B714="Yes")</f>
        <v>0</v>
      </c>
    </row>
    <row r="715" spans="1:2">
      <c r="A715" s="19">
        <f>Raw_Data!J715</f>
        <v>996</v>
      </c>
      <c r="B715" s="19">
        <f>--(Raw_Data!B715="Yes")</f>
        <v>0</v>
      </c>
    </row>
    <row r="716" spans="1:2">
      <c r="A716" s="19">
        <f>Raw_Data!J716</f>
        <v>997</v>
      </c>
      <c r="B716" s="19">
        <f>--(Raw_Data!B716="Yes")</f>
        <v>0</v>
      </c>
    </row>
    <row r="717" spans="1:2">
      <c r="A717" s="19">
        <f>Raw_Data!J717</f>
        <v>998</v>
      </c>
      <c r="B717" s="19">
        <f>--(Raw_Data!B717="Yes")</f>
        <v>0</v>
      </c>
    </row>
    <row r="718" spans="1:2">
      <c r="A718" s="19">
        <f>Raw_Data!J718</f>
        <v>999</v>
      </c>
      <c r="B718" s="19">
        <f>--(Raw_Data!B718="Yes")</f>
        <v>0</v>
      </c>
    </row>
    <row r="719" spans="1:2">
      <c r="A719" s="19">
        <f>Raw_Data!J719</f>
        <v>1001</v>
      </c>
      <c r="B719" s="19">
        <f>--(Raw_Data!B719="Yes")</f>
        <v>0</v>
      </c>
    </row>
    <row r="720" spans="1:2">
      <c r="A720" s="19">
        <f>Raw_Data!J720</f>
        <v>1002</v>
      </c>
      <c r="B720" s="19">
        <f>--(Raw_Data!B720="Yes")</f>
        <v>0</v>
      </c>
    </row>
    <row r="721" spans="1:2">
      <c r="A721" s="19">
        <f>Raw_Data!J721</f>
        <v>1003</v>
      </c>
      <c r="B721" s="19">
        <f>--(Raw_Data!B721="Yes")</f>
        <v>0</v>
      </c>
    </row>
    <row r="722" spans="1:2">
      <c r="A722" s="19">
        <f>Raw_Data!J722</f>
        <v>1004</v>
      </c>
      <c r="B722" s="19">
        <f>--(Raw_Data!B722="Yes")</f>
        <v>1</v>
      </c>
    </row>
    <row r="723" spans="1:2">
      <c r="A723" s="19">
        <f>Raw_Data!J723</f>
        <v>1005</v>
      </c>
      <c r="B723" s="19">
        <f>--(Raw_Data!B723="Yes")</f>
        <v>0</v>
      </c>
    </row>
    <row r="724" spans="1:2">
      <c r="A724" s="19">
        <f>Raw_Data!J724</f>
        <v>1006</v>
      </c>
      <c r="B724" s="19">
        <f>--(Raw_Data!B724="Yes")</f>
        <v>0</v>
      </c>
    </row>
    <row r="725" spans="1:2">
      <c r="A725" s="19">
        <f>Raw_Data!J725</f>
        <v>1007</v>
      </c>
      <c r="B725" s="19">
        <f>--(Raw_Data!B725="Yes")</f>
        <v>0</v>
      </c>
    </row>
    <row r="726" spans="1:2">
      <c r="A726" s="19">
        <f>Raw_Data!J726</f>
        <v>1009</v>
      </c>
      <c r="B726" s="19">
        <f>--(Raw_Data!B726="Yes")</f>
        <v>0</v>
      </c>
    </row>
    <row r="727" spans="1:2">
      <c r="A727" s="19">
        <f>Raw_Data!J727</f>
        <v>1010</v>
      </c>
      <c r="B727" s="19">
        <f>--(Raw_Data!B727="Yes")</f>
        <v>1</v>
      </c>
    </row>
    <row r="728" spans="1:2">
      <c r="A728" s="19">
        <f>Raw_Data!J728</f>
        <v>1011</v>
      </c>
      <c r="B728" s="19">
        <f>--(Raw_Data!B728="Yes")</f>
        <v>0</v>
      </c>
    </row>
    <row r="729" spans="1:2">
      <c r="A729" s="19">
        <f>Raw_Data!J729</f>
        <v>1012</v>
      </c>
      <c r="B729" s="19">
        <f>--(Raw_Data!B729="Yes")</f>
        <v>0</v>
      </c>
    </row>
    <row r="730" spans="1:2">
      <c r="A730" s="19">
        <f>Raw_Data!J730</f>
        <v>1013</v>
      </c>
      <c r="B730" s="19">
        <f>--(Raw_Data!B730="Yes")</f>
        <v>0</v>
      </c>
    </row>
    <row r="731" spans="1:2">
      <c r="A731" s="19">
        <f>Raw_Data!J731</f>
        <v>1014</v>
      </c>
      <c r="B731" s="19">
        <f>--(Raw_Data!B731="Yes")</f>
        <v>0</v>
      </c>
    </row>
    <row r="732" spans="1:2">
      <c r="A732" s="19">
        <f>Raw_Data!J732</f>
        <v>1015</v>
      </c>
      <c r="B732" s="19">
        <f>--(Raw_Data!B732="Yes")</f>
        <v>0</v>
      </c>
    </row>
    <row r="733" spans="1:2">
      <c r="A733" s="19">
        <f>Raw_Data!J733</f>
        <v>1016</v>
      </c>
      <c r="B733" s="19">
        <f>--(Raw_Data!B733="Yes")</f>
        <v>1</v>
      </c>
    </row>
    <row r="734" spans="1:2">
      <c r="A734" s="19">
        <f>Raw_Data!J734</f>
        <v>1017</v>
      </c>
      <c r="B734" s="19">
        <f>--(Raw_Data!B734="Yes")</f>
        <v>1</v>
      </c>
    </row>
    <row r="735" spans="1:2">
      <c r="A735" s="19">
        <f>Raw_Data!J735</f>
        <v>1018</v>
      </c>
      <c r="B735" s="19">
        <f>--(Raw_Data!B735="Yes")</f>
        <v>0</v>
      </c>
    </row>
    <row r="736" spans="1:2">
      <c r="A736" s="19">
        <f>Raw_Data!J736</f>
        <v>1019</v>
      </c>
      <c r="B736" s="19">
        <f>--(Raw_Data!B736="Yes")</f>
        <v>0</v>
      </c>
    </row>
    <row r="737" spans="1:2">
      <c r="A737" s="19">
        <f>Raw_Data!J737</f>
        <v>1022</v>
      </c>
      <c r="B737" s="19">
        <f>--(Raw_Data!B737="Yes")</f>
        <v>0</v>
      </c>
    </row>
    <row r="738" spans="1:2">
      <c r="A738" s="19">
        <f>Raw_Data!J738</f>
        <v>1024</v>
      </c>
      <c r="B738" s="19">
        <f>--(Raw_Data!B738="Yes")</f>
        <v>0</v>
      </c>
    </row>
    <row r="739" spans="1:2">
      <c r="A739" s="19">
        <f>Raw_Data!J739</f>
        <v>1025</v>
      </c>
      <c r="B739" s="19">
        <f>--(Raw_Data!B739="Yes")</f>
        <v>0</v>
      </c>
    </row>
    <row r="740" spans="1:2">
      <c r="A740" s="19">
        <f>Raw_Data!J740</f>
        <v>1026</v>
      </c>
      <c r="B740" s="19">
        <f>--(Raw_Data!B740="Yes")</f>
        <v>0</v>
      </c>
    </row>
    <row r="741" spans="1:2">
      <c r="A741" s="19">
        <f>Raw_Data!J741</f>
        <v>1027</v>
      </c>
      <c r="B741" s="19">
        <f>--(Raw_Data!B741="Yes")</f>
        <v>0</v>
      </c>
    </row>
    <row r="742" spans="1:2">
      <c r="A742" s="19">
        <f>Raw_Data!J742</f>
        <v>1028</v>
      </c>
      <c r="B742" s="19">
        <f>--(Raw_Data!B742="Yes")</f>
        <v>0</v>
      </c>
    </row>
    <row r="743" spans="1:2">
      <c r="A743" s="19">
        <f>Raw_Data!J743</f>
        <v>1029</v>
      </c>
      <c r="B743" s="19">
        <f>--(Raw_Data!B743="Yes")</f>
        <v>0</v>
      </c>
    </row>
    <row r="744" spans="1:2">
      <c r="A744" s="19">
        <f>Raw_Data!J744</f>
        <v>1030</v>
      </c>
      <c r="B744" s="19">
        <f>--(Raw_Data!B744="Yes")</f>
        <v>0</v>
      </c>
    </row>
    <row r="745" spans="1:2">
      <c r="A745" s="19">
        <f>Raw_Data!J745</f>
        <v>1032</v>
      </c>
      <c r="B745" s="19">
        <f>--(Raw_Data!B745="Yes")</f>
        <v>0</v>
      </c>
    </row>
    <row r="746" spans="1:2">
      <c r="A746" s="19">
        <f>Raw_Data!J746</f>
        <v>1033</v>
      </c>
      <c r="B746" s="19">
        <f>--(Raw_Data!B746="Yes")</f>
        <v>1</v>
      </c>
    </row>
    <row r="747" spans="1:2">
      <c r="A747" s="19">
        <f>Raw_Data!J747</f>
        <v>1034</v>
      </c>
      <c r="B747" s="19">
        <f>--(Raw_Data!B747="Yes")</f>
        <v>0</v>
      </c>
    </row>
    <row r="748" spans="1:2">
      <c r="A748" s="19">
        <f>Raw_Data!J748</f>
        <v>1035</v>
      </c>
      <c r="B748" s="19">
        <f>--(Raw_Data!B748="Yes")</f>
        <v>0</v>
      </c>
    </row>
    <row r="749" spans="1:2">
      <c r="A749" s="19">
        <f>Raw_Data!J749</f>
        <v>1036</v>
      </c>
      <c r="B749" s="19">
        <f>--(Raw_Data!B749="Yes")</f>
        <v>0</v>
      </c>
    </row>
    <row r="750" spans="1:2">
      <c r="A750" s="19">
        <f>Raw_Data!J750</f>
        <v>1037</v>
      </c>
      <c r="B750" s="19">
        <f>--(Raw_Data!B750="Yes")</f>
        <v>1</v>
      </c>
    </row>
    <row r="751" spans="1:2">
      <c r="A751" s="19">
        <f>Raw_Data!J751</f>
        <v>1038</v>
      </c>
      <c r="B751" s="19">
        <f>--(Raw_Data!B751="Yes")</f>
        <v>1</v>
      </c>
    </row>
    <row r="752" spans="1:2">
      <c r="A752" s="19">
        <f>Raw_Data!J752</f>
        <v>1039</v>
      </c>
      <c r="B752" s="19">
        <f>--(Raw_Data!B752="Yes")</f>
        <v>0</v>
      </c>
    </row>
    <row r="753" spans="1:2">
      <c r="A753" s="19">
        <f>Raw_Data!J753</f>
        <v>1040</v>
      </c>
      <c r="B753" s="19">
        <f>--(Raw_Data!B753="Yes")</f>
        <v>0</v>
      </c>
    </row>
    <row r="754" spans="1:2">
      <c r="A754" s="19">
        <f>Raw_Data!J754</f>
        <v>1042</v>
      </c>
      <c r="B754" s="19">
        <f>--(Raw_Data!B754="Yes")</f>
        <v>1</v>
      </c>
    </row>
    <row r="755" spans="1:2">
      <c r="A755" s="19">
        <f>Raw_Data!J755</f>
        <v>1043</v>
      </c>
      <c r="B755" s="19">
        <f>--(Raw_Data!B755="Yes")</f>
        <v>0</v>
      </c>
    </row>
    <row r="756" spans="1:2">
      <c r="A756" s="19">
        <f>Raw_Data!J756</f>
        <v>1044</v>
      </c>
      <c r="B756" s="19">
        <f>--(Raw_Data!B756="Yes")</f>
        <v>0</v>
      </c>
    </row>
    <row r="757" spans="1:2">
      <c r="A757" s="19">
        <f>Raw_Data!J757</f>
        <v>1045</v>
      </c>
      <c r="B757" s="19">
        <f>--(Raw_Data!B757="Yes")</f>
        <v>0</v>
      </c>
    </row>
    <row r="758" spans="1:2">
      <c r="A758" s="19">
        <f>Raw_Data!J758</f>
        <v>1046</v>
      </c>
      <c r="B758" s="19">
        <f>--(Raw_Data!B758="Yes")</f>
        <v>0</v>
      </c>
    </row>
    <row r="759" spans="1:2">
      <c r="A759" s="19">
        <f>Raw_Data!J759</f>
        <v>1047</v>
      </c>
      <c r="B759" s="19">
        <f>--(Raw_Data!B759="Yes")</f>
        <v>0</v>
      </c>
    </row>
    <row r="760" spans="1:2">
      <c r="A760" s="19">
        <f>Raw_Data!J760</f>
        <v>1048</v>
      </c>
      <c r="B760" s="19">
        <f>--(Raw_Data!B760="Yes")</f>
        <v>0</v>
      </c>
    </row>
    <row r="761" spans="1:2">
      <c r="A761" s="19">
        <f>Raw_Data!J761</f>
        <v>1049</v>
      </c>
      <c r="B761" s="19">
        <f>--(Raw_Data!B761="Yes")</f>
        <v>0</v>
      </c>
    </row>
    <row r="762" spans="1:2">
      <c r="A762" s="19">
        <f>Raw_Data!J762</f>
        <v>1050</v>
      </c>
      <c r="B762" s="19">
        <f>--(Raw_Data!B762="Yes")</f>
        <v>0</v>
      </c>
    </row>
    <row r="763" spans="1:2">
      <c r="A763" s="19">
        <f>Raw_Data!J763</f>
        <v>1052</v>
      </c>
      <c r="B763" s="19">
        <f>--(Raw_Data!B763="Yes")</f>
        <v>1</v>
      </c>
    </row>
    <row r="764" spans="1:2">
      <c r="A764" s="19">
        <f>Raw_Data!J764</f>
        <v>1053</v>
      </c>
      <c r="B764" s="19">
        <f>--(Raw_Data!B764="Yes")</f>
        <v>1</v>
      </c>
    </row>
    <row r="765" spans="1:2">
      <c r="A765" s="19">
        <f>Raw_Data!J765</f>
        <v>1055</v>
      </c>
      <c r="B765" s="19">
        <f>--(Raw_Data!B765="Yes")</f>
        <v>0</v>
      </c>
    </row>
    <row r="766" spans="1:2">
      <c r="A766" s="19">
        <f>Raw_Data!J766</f>
        <v>1056</v>
      </c>
      <c r="B766" s="19">
        <f>--(Raw_Data!B766="Yes")</f>
        <v>0</v>
      </c>
    </row>
    <row r="767" spans="1:2">
      <c r="A767" s="19">
        <f>Raw_Data!J767</f>
        <v>1060</v>
      </c>
      <c r="B767" s="19">
        <f>--(Raw_Data!B767="Yes")</f>
        <v>0</v>
      </c>
    </row>
    <row r="768" spans="1:2">
      <c r="A768" s="19">
        <f>Raw_Data!J768</f>
        <v>1061</v>
      </c>
      <c r="B768" s="19">
        <f>--(Raw_Data!B768="Yes")</f>
        <v>0</v>
      </c>
    </row>
    <row r="769" spans="1:2">
      <c r="A769" s="19">
        <f>Raw_Data!J769</f>
        <v>1062</v>
      </c>
      <c r="B769" s="19">
        <f>--(Raw_Data!B769="Yes")</f>
        <v>0</v>
      </c>
    </row>
    <row r="770" spans="1:2">
      <c r="A770" s="19">
        <f>Raw_Data!J770</f>
        <v>1066</v>
      </c>
      <c r="B770" s="19">
        <f>--(Raw_Data!B770="Yes")</f>
        <v>0</v>
      </c>
    </row>
    <row r="771" spans="1:2">
      <c r="A771" s="19">
        <f>Raw_Data!J771</f>
        <v>1068</v>
      </c>
      <c r="B771" s="19">
        <f>--(Raw_Data!B771="Yes")</f>
        <v>0</v>
      </c>
    </row>
    <row r="772" spans="1:2">
      <c r="A772" s="19">
        <f>Raw_Data!J772</f>
        <v>1069</v>
      </c>
      <c r="B772" s="19">
        <f>--(Raw_Data!B772="Yes")</f>
        <v>0</v>
      </c>
    </row>
    <row r="773" spans="1:2">
      <c r="A773" s="19">
        <f>Raw_Data!J773</f>
        <v>1070</v>
      </c>
      <c r="B773" s="19">
        <f>--(Raw_Data!B773="Yes")</f>
        <v>0</v>
      </c>
    </row>
    <row r="774" spans="1:2">
      <c r="A774" s="19">
        <f>Raw_Data!J774</f>
        <v>1071</v>
      </c>
      <c r="B774" s="19">
        <f>--(Raw_Data!B774="Yes")</f>
        <v>0</v>
      </c>
    </row>
    <row r="775" spans="1:2">
      <c r="A775" s="19">
        <f>Raw_Data!J775</f>
        <v>1073</v>
      </c>
      <c r="B775" s="19">
        <f>--(Raw_Data!B775="Yes")</f>
        <v>0</v>
      </c>
    </row>
    <row r="776" spans="1:2">
      <c r="A776" s="19">
        <f>Raw_Data!J776</f>
        <v>1074</v>
      </c>
      <c r="B776" s="19">
        <f>--(Raw_Data!B776="Yes")</f>
        <v>0</v>
      </c>
    </row>
    <row r="777" spans="1:2">
      <c r="A777" s="19">
        <f>Raw_Data!J777</f>
        <v>1076</v>
      </c>
      <c r="B777" s="19">
        <f>--(Raw_Data!B777="Yes")</f>
        <v>0</v>
      </c>
    </row>
    <row r="778" spans="1:2">
      <c r="A778" s="19">
        <f>Raw_Data!J778</f>
        <v>1077</v>
      </c>
      <c r="B778" s="19">
        <f>--(Raw_Data!B778="Yes")</f>
        <v>1</v>
      </c>
    </row>
    <row r="779" spans="1:2">
      <c r="A779" s="19">
        <f>Raw_Data!J779</f>
        <v>1079</v>
      </c>
      <c r="B779" s="19">
        <f>--(Raw_Data!B779="Yes")</f>
        <v>1</v>
      </c>
    </row>
    <row r="780" spans="1:2">
      <c r="A780" s="19">
        <f>Raw_Data!J780</f>
        <v>1080</v>
      </c>
      <c r="B780" s="19">
        <f>--(Raw_Data!B780="Yes")</f>
        <v>0</v>
      </c>
    </row>
    <row r="781" spans="1:2">
      <c r="A781" s="19">
        <f>Raw_Data!J781</f>
        <v>1081</v>
      </c>
      <c r="B781" s="19">
        <f>--(Raw_Data!B781="Yes")</f>
        <v>1</v>
      </c>
    </row>
    <row r="782" spans="1:2">
      <c r="A782" s="19">
        <f>Raw_Data!J782</f>
        <v>1082</v>
      </c>
      <c r="B782" s="19">
        <f>--(Raw_Data!B782="Yes")</f>
        <v>1</v>
      </c>
    </row>
    <row r="783" spans="1:2">
      <c r="A783" s="19">
        <f>Raw_Data!J783</f>
        <v>1083</v>
      </c>
      <c r="B783" s="19">
        <f>--(Raw_Data!B783="Yes")</f>
        <v>0</v>
      </c>
    </row>
    <row r="784" spans="1:2">
      <c r="A784" s="19">
        <f>Raw_Data!J784</f>
        <v>1084</v>
      </c>
      <c r="B784" s="19">
        <f>--(Raw_Data!B784="Yes")</f>
        <v>0</v>
      </c>
    </row>
    <row r="785" spans="1:2">
      <c r="A785" s="19">
        <f>Raw_Data!J785</f>
        <v>1085</v>
      </c>
      <c r="B785" s="19">
        <f>--(Raw_Data!B785="Yes")</f>
        <v>0</v>
      </c>
    </row>
    <row r="786" spans="1:2">
      <c r="A786" s="19">
        <f>Raw_Data!J786</f>
        <v>1088</v>
      </c>
      <c r="B786" s="19">
        <f>--(Raw_Data!B786="Yes")</f>
        <v>0</v>
      </c>
    </row>
    <row r="787" spans="1:2">
      <c r="A787" s="19">
        <f>Raw_Data!J787</f>
        <v>1092</v>
      </c>
      <c r="B787" s="19">
        <f>--(Raw_Data!B787="Yes")</f>
        <v>0</v>
      </c>
    </row>
    <row r="788" spans="1:2">
      <c r="A788" s="19">
        <f>Raw_Data!J788</f>
        <v>1094</v>
      </c>
      <c r="B788" s="19">
        <f>--(Raw_Data!B788="Yes")</f>
        <v>0</v>
      </c>
    </row>
    <row r="789" spans="1:2">
      <c r="A789" s="19">
        <f>Raw_Data!J789</f>
        <v>1096</v>
      </c>
      <c r="B789" s="19">
        <f>--(Raw_Data!B789="Yes")</f>
        <v>0</v>
      </c>
    </row>
    <row r="790" spans="1:2">
      <c r="A790" s="19">
        <f>Raw_Data!J790</f>
        <v>1097</v>
      </c>
      <c r="B790" s="19">
        <f>--(Raw_Data!B790="Yes")</f>
        <v>0</v>
      </c>
    </row>
    <row r="791" spans="1:2">
      <c r="A791" s="19">
        <f>Raw_Data!J791</f>
        <v>1098</v>
      </c>
      <c r="B791" s="19">
        <f>--(Raw_Data!B791="Yes")</f>
        <v>1</v>
      </c>
    </row>
    <row r="792" spans="1:2">
      <c r="A792" s="19">
        <f>Raw_Data!J792</f>
        <v>1099</v>
      </c>
      <c r="B792" s="19">
        <f>--(Raw_Data!B792="Yes")</f>
        <v>0</v>
      </c>
    </row>
    <row r="793" spans="1:2">
      <c r="A793" s="19">
        <f>Raw_Data!J793</f>
        <v>1100</v>
      </c>
      <c r="B793" s="19">
        <f>--(Raw_Data!B793="Yes")</f>
        <v>1</v>
      </c>
    </row>
    <row r="794" spans="1:2">
      <c r="A794" s="19">
        <f>Raw_Data!J794</f>
        <v>1101</v>
      </c>
      <c r="B794" s="19">
        <f>--(Raw_Data!B794="Yes")</f>
        <v>1</v>
      </c>
    </row>
    <row r="795" spans="1:2">
      <c r="A795" s="19">
        <f>Raw_Data!J795</f>
        <v>1102</v>
      </c>
      <c r="B795" s="19">
        <f>--(Raw_Data!B795="Yes")</f>
        <v>0</v>
      </c>
    </row>
    <row r="796" spans="1:2">
      <c r="A796" s="19">
        <f>Raw_Data!J796</f>
        <v>1103</v>
      </c>
      <c r="B796" s="19">
        <f>--(Raw_Data!B796="Yes")</f>
        <v>0</v>
      </c>
    </row>
    <row r="797" spans="1:2">
      <c r="A797" s="19">
        <f>Raw_Data!J797</f>
        <v>1105</v>
      </c>
      <c r="B797" s="19">
        <f>--(Raw_Data!B797="Yes")</f>
        <v>0</v>
      </c>
    </row>
    <row r="798" spans="1:2">
      <c r="A798" s="19">
        <f>Raw_Data!J798</f>
        <v>1106</v>
      </c>
      <c r="B798" s="19">
        <f>--(Raw_Data!B798="Yes")</f>
        <v>1</v>
      </c>
    </row>
    <row r="799" spans="1:2">
      <c r="A799" s="19">
        <f>Raw_Data!J799</f>
        <v>1107</v>
      </c>
      <c r="B799" s="19">
        <f>--(Raw_Data!B799="Yes")</f>
        <v>1</v>
      </c>
    </row>
    <row r="800" spans="1:2">
      <c r="A800" s="19">
        <f>Raw_Data!J800</f>
        <v>1108</v>
      </c>
      <c r="B800" s="19">
        <f>--(Raw_Data!B800="Yes")</f>
        <v>1</v>
      </c>
    </row>
    <row r="801" spans="1:2">
      <c r="A801" s="19">
        <f>Raw_Data!J801</f>
        <v>1109</v>
      </c>
      <c r="B801" s="19">
        <f>--(Raw_Data!B801="Yes")</f>
        <v>0</v>
      </c>
    </row>
    <row r="802" spans="1:2">
      <c r="A802" s="19">
        <f>Raw_Data!J802</f>
        <v>1111</v>
      </c>
      <c r="B802" s="19">
        <f>--(Raw_Data!B802="Yes")</f>
        <v>1</v>
      </c>
    </row>
    <row r="803" spans="1:2">
      <c r="A803" s="19">
        <f>Raw_Data!J803</f>
        <v>1113</v>
      </c>
      <c r="B803" s="19">
        <f>--(Raw_Data!B803="Yes")</f>
        <v>1</v>
      </c>
    </row>
    <row r="804" spans="1:2">
      <c r="A804" s="19">
        <f>Raw_Data!J804</f>
        <v>1114</v>
      </c>
      <c r="B804" s="19">
        <f>--(Raw_Data!B804="Yes")</f>
        <v>0</v>
      </c>
    </row>
    <row r="805" spans="1:2">
      <c r="A805" s="19">
        <f>Raw_Data!J805</f>
        <v>1115</v>
      </c>
      <c r="B805" s="19">
        <f>--(Raw_Data!B805="Yes")</f>
        <v>0</v>
      </c>
    </row>
    <row r="806" spans="1:2">
      <c r="A806" s="19">
        <f>Raw_Data!J806</f>
        <v>1116</v>
      </c>
      <c r="B806" s="19">
        <f>--(Raw_Data!B806="Yes")</f>
        <v>0</v>
      </c>
    </row>
    <row r="807" spans="1:2">
      <c r="A807" s="19">
        <f>Raw_Data!J807</f>
        <v>1117</v>
      </c>
      <c r="B807" s="19">
        <f>--(Raw_Data!B807="Yes")</f>
        <v>0</v>
      </c>
    </row>
    <row r="808" spans="1:2">
      <c r="A808" s="19">
        <f>Raw_Data!J808</f>
        <v>1118</v>
      </c>
      <c r="B808" s="19">
        <f>--(Raw_Data!B808="Yes")</f>
        <v>0</v>
      </c>
    </row>
    <row r="809" spans="1:2">
      <c r="A809" s="19">
        <f>Raw_Data!J809</f>
        <v>1119</v>
      </c>
      <c r="B809" s="19">
        <f>--(Raw_Data!B809="Yes")</f>
        <v>0</v>
      </c>
    </row>
    <row r="810" spans="1:2">
      <c r="A810" s="19">
        <f>Raw_Data!J810</f>
        <v>1120</v>
      </c>
      <c r="B810" s="19">
        <f>--(Raw_Data!B810="Yes")</f>
        <v>0</v>
      </c>
    </row>
    <row r="811" spans="1:2">
      <c r="A811" s="19">
        <f>Raw_Data!J811</f>
        <v>1121</v>
      </c>
      <c r="B811" s="19">
        <f>--(Raw_Data!B811="Yes")</f>
        <v>0</v>
      </c>
    </row>
    <row r="812" spans="1:2">
      <c r="A812" s="19">
        <f>Raw_Data!J812</f>
        <v>1124</v>
      </c>
      <c r="B812" s="19">
        <f>--(Raw_Data!B812="Yes")</f>
        <v>0</v>
      </c>
    </row>
    <row r="813" spans="1:2">
      <c r="A813" s="19">
        <f>Raw_Data!J813</f>
        <v>1125</v>
      </c>
      <c r="B813" s="19">
        <f>--(Raw_Data!B813="Yes")</f>
        <v>0</v>
      </c>
    </row>
    <row r="814" spans="1:2">
      <c r="A814" s="19">
        <f>Raw_Data!J814</f>
        <v>1126</v>
      </c>
      <c r="B814" s="19">
        <f>--(Raw_Data!B814="Yes")</f>
        <v>0</v>
      </c>
    </row>
    <row r="815" spans="1:2">
      <c r="A815" s="19">
        <f>Raw_Data!J815</f>
        <v>1127</v>
      </c>
      <c r="B815" s="19">
        <f>--(Raw_Data!B815="Yes")</f>
        <v>1</v>
      </c>
    </row>
    <row r="816" spans="1:2">
      <c r="A816" s="19">
        <f>Raw_Data!J816</f>
        <v>1128</v>
      </c>
      <c r="B816" s="19">
        <f>--(Raw_Data!B816="Yes")</f>
        <v>0</v>
      </c>
    </row>
    <row r="817" spans="1:2">
      <c r="A817" s="19">
        <f>Raw_Data!J817</f>
        <v>1131</v>
      </c>
      <c r="B817" s="19">
        <f>--(Raw_Data!B817="Yes")</f>
        <v>0</v>
      </c>
    </row>
    <row r="818" spans="1:2">
      <c r="A818" s="19">
        <f>Raw_Data!J818</f>
        <v>1132</v>
      </c>
      <c r="B818" s="19">
        <f>--(Raw_Data!B818="Yes")</f>
        <v>0</v>
      </c>
    </row>
    <row r="819" spans="1:2">
      <c r="A819" s="19">
        <f>Raw_Data!J819</f>
        <v>1133</v>
      </c>
      <c r="B819" s="19">
        <f>--(Raw_Data!B819="Yes")</f>
        <v>0</v>
      </c>
    </row>
    <row r="820" spans="1:2">
      <c r="A820" s="19">
        <f>Raw_Data!J820</f>
        <v>1135</v>
      </c>
      <c r="B820" s="19">
        <f>--(Raw_Data!B820="Yes")</f>
        <v>0</v>
      </c>
    </row>
    <row r="821" spans="1:2">
      <c r="A821" s="19">
        <f>Raw_Data!J821</f>
        <v>1136</v>
      </c>
      <c r="B821" s="19">
        <f>--(Raw_Data!B821="Yes")</f>
        <v>0</v>
      </c>
    </row>
    <row r="822" spans="1:2">
      <c r="A822" s="19">
        <f>Raw_Data!J822</f>
        <v>1137</v>
      </c>
      <c r="B822" s="19">
        <f>--(Raw_Data!B822="Yes")</f>
        <v>0</v>
      </c>
    </row>
    <row r="823" spans="1:2">
      <c r="A823" s="19">
        <f>Raw_Data!J823</f>
        <v>1138</v>
      </c>
      <c r="B823" s="19">
        <f>--(Raw_Data!B823="Yes")</f>
        <v>0</v>
      </c>
    </row>
    <row r="824" spans="1:2">
      <c r="A824" s="19">
        <f>Raw_Data!J824</f>
        <v>1140</v>
      </c>
      <c r="B824" s="19">
        <f>--(Raw_Data!B824="Yes")</f>
        <v>0</v>
      </c>
    </row>
    <row r="825" spans="1:2">
      <c r="A825" s="19">
        <f>Raw_Data!J825</f>
        <v>1143</v>
      </c>
      <c r="B825" s="19">
        <f>--(Raw_Data!B825="Yes")</f>
        <v>0</v>
      </c>
    </row>
    <row r="826" spans="1:2">
      <c r="A826" s="19">
        <f>Raw_Data!J826</f>
        <v>1148</v>
      </c>
      <c r="B826" s="19">
        <f>--(Raw_Data!B826="Yes")</f>
        <v>0</v>
      </c>
    </row>
    <row r="827" spans="1:2">
      <c r="A827" s="19">
        <f>Raw_Data!J827</f>
        <v>1150</v>
      </c>
      <c r="B827" s="19">
        <f>--(Raw_Data!B827="Yes")</f>
        <v>0</v>
      </c>
    </row>
    <row r="828" spans="1:2">
      <c r="A828" s="19">
        <f>Raw_Data!J828</f>
        <v>1152</v>
      </c>
      <c r="B828" s="19">
        <f>--(Raw_Data!B828="Yes")</f>
        <v>0</v>
      </c>
    </row>
    <row r="829" spans="1:2">
      <c r="A829" s="19">
        <f>Raw_Data!J829</f>
        <v>1154</v>
      </c>
      <c r="B829" s="19">
        <f>--(Raw_Data!B829="Yes")</f>
        <v>0</v>
      </c>
    </row>
    <row r="830" spans="1:2">
      <c r="A830" s="19">
        <f>Raw_Data!J830</f>
        <v>1156</v>
      </c>
      <c r="B830" s="19">
        <f>--(Raw_Data!B830="Yes")</f>
        <v>1</v>
      </c>
    </row>
    <row r="831" spans="1:2">
      <c r="A831" s="19">
        <f>Raw_Data!J831</f>
        <v>1157</v>
      </c>
      <c r="B831" s="19">
        <f>--(Raw_Data!B831="Yes")</f>
        <v>1</v>
      </c>
    </row>
    <row r="832" spans="1:2">
      <c r="A832" s="19">
        <f>Raw_Data!J832</f>
        <v>1158</v>
      </c>
      <c r="B832" s="19">
        <f>--(Raw_Data!B832="Yes")</f>
        <v>0</v>
      </c>
    </row>
    <row r="833" spans="1:2">
      <c r="A833" s="19">
        <f>Raw_Data!J833</f>
        <v>1160</v>
      </c>
      <c r="B833" s="19">
        <f>--(Raw_Data!B833="Yes")</f>
        <v>1</v>
      </c>
    </row>
    <row r="834" spans="1:2">
      <c r="A834" s="19">
        <f>Raw_Data!J834</f>
        <v>1161</v>
      </c>
      <c r="B834" s="19">
        <f>--(Raw_Data!B834="Yes")</f>
        <v>0</v>
      </c>
    </row>
    <row r="835" spans="1:2">
      <c r="A835" s="19">
        <f>Raw_Data!J835</f>
        <v>1162</v>
      </c>
      <c r="B835" s="19">
        <f>--(Raw_Data!B835="Yes")</f>
        <v>0</v>
      </c>
    </row>
    <row r="836" spans="1:2">
      <c r="A836" s="19">
        <f>Raw_Data!J836</f>
        <v>1163</v>
      </c>
      <c r="B836" s="19">
        <f>--(Raw_Data!B836="Yes")</f>
        <v>0</v>
      </c>
    </row>
    <row r="837" spans="1:2">
      <c r="A837" s="19">
        <f>Raw_Data!J837</f>
        <v>1164</v>
      </c>
      <c r="B837" s="19">
        <f>--(Raw_Data!B837="Yes")</f>
        <v>0</v>
      </c>
    </row>
    <row r="838" spans="1:2">
      <c r="A838" s="19">
        <f>Raw_Data!J838</f>
        <v>1165</v>
      </c>
      <c r="B838" s="19">
        <f>--(Raw_Data!B838="Yes")</f>
        <v>1</v>
      </c>
    </row>
    <row r="839" spans="1:2">
      <c r="A839" s="19">
        <f>Raw_Data!J839</f>
        <v>1166</v>
      </c>
      <c r="B839" s="19">
        <f>--(Raw_Data!B839="Yes")</f>
        <v>0</v>
      </c>
    </row>
    <row r="840" spans="1:2">
      <c r="A840" s="19">
        <f>Raw_Data!J840</f>
        <v>1167</v>
      </c>
      <c r="B840" s="19">
        <f>--(Raw_Data!B840="Yes")</f>
        <v>1</v>
      </c>
    </row>
    <row r="841" spans="1:2">
      <c r="A841" s="19">
        <f>Raw_Data!J841</f>
        <v>1171</v>
      </c>
      <c r="B841" s="19">
        <f>--(Raw_Data!B841="Yes")</f>
        <v>0</v>
      </c>
    </row>
    <row r="842" spans="1:2">
      <c r="A842" s="19">
        <f>Raw_Data!J842</f>
        <v>1172</v>
      </c>
      <c r="B842" s="19">
        <f>--(Raw_Data!B842="Yes")</f>
        <v>0</v>
      </c>
    </row>
    <row r="843" spans="1:2">
      <c r="A843" s="19">
        <f>Raw_Data!J843</f>
        <v>1173</v>
      </c>
      <c r="B843" s="19">
        <f>--(Raw_Data!B843="Yes")</f>
        <v>0</v>
      </c>
    </row>
    <row r="844" spans="1:2">
      <c r="A844" s="19">
        <f>Raw_Data!J844</f>
        <v>1175</v>
      </c>
      <c r="B844" s="19">
        <f>--(Raw_Data!B844="Yes")</f>
        <v>1</v>
      </c>
    </row>
    <row r="845" spans="1:2">
      <c r="A845" s="19">
        <f>Raw_Data!J845</f>
        <v>1177</v>
      </c>
      <c r="B845" s="19">
        <f>--(Raw_Data!B845="Yes")</f>
        <v>0</v>
      </c>
    </row>
    <row r="846" spans="1:2">
      <c r="A846" s="19">
        <f>Raw_Data!J846</f>
        <v>1179</v>
      </c>
      <c r="B846" s="19">
        <f>--(Raw_Data!B846="Yes")</f>
        <v>0</v>
      </c>
    </row>
    <row r="847" spans="1:2">
      <c r="A847" s="19">
        <f>Raw_Data!J847</f>
        <v>1180</v>
      </c>
      <c r="B847" s="19">
        <f>--(Raw_Data!B847="Yes")</f>
        <v>0</v>
      </c>
    </row>
    <row r="848" spans="1:2">
      <c r="A848" s="19">
        <f>Raw_Data!J848</f>
        <v>1182</v>
      </c>
      <c r="B848" s="19">
        <f>--(Raw_Data!B848="Yes")</f>
        <v>0</v>
      </c>
    </row>
    <row r="849" spans="1:2">
      <c r="A849" s="19">
        <f>Raw_Data!J849</f>
        <v>1184</v>
      </c>
      <c r="B849" s="19">
        <f>--(Raw_Data!B849="Yes")</f>
        <v>0</v>
      </c>
    </row>
    <row r="850" spans="1:2">
      <c r="A850" s="19">
        <f>Raw_Data!J850</f>
        <v>1185</v>
      </c>
      <c r="B850" s="19">
        <f>--(Raw_Data!B850="Yes")</f>
        <v>0</v>
      </c>
    </row>
    <row r="851" spans="1:2">
      <c r="A851" s="19">
        <f>Raw_Data!J851</f>
        <v>1188</v>
      </c>
      <c r="B851" s="19">
        <f>--(Raw_Data!B851="Yes")</f>
        <v>1</v>
      </c>
    </row>
    <row r="852" spans="1:2">
      <c r="A852" s="19">
        <f>Raw_Data!J852</f>
        <v>1190</v>
      </c>
      <c r="B852" s="19">
        <f>--(Raw_Data!B852="Yes")</f>
        <v>0</v>
      </c>
    </row>
    <row r="853" spans="1:2">
      <c r="A853" s="19">
        <f>Raw_Data!J853</f>
        <v>1191</v>
      </c>
      <c r="B853" s="19">
        <f>--(Raw_Data!B853="Yes")</f>
        <v>0</v>
      </c>
    </row>
    <row r="854" spans="1:2">
      <c r="A854" s="19">
        <f>Raw_Data!J854</f>
        <v>1192</v>
      </c>
      <c r="B854" s="19">
        <f>--(Raw_Data!B854="Yes")</f>
        <v>0</v>
      </c>
    </row>
    <row r="855" spans="1:2">
      <c r="A855" s="19">
        <f>Raw_Data!J855</f>
        <v>1193</v>
      </c>
      <c r="B855" s="19">
        <f>--(Raw_Data!B855="Yes")</f>
        <v>0</v>
      </c>
    </row>
    <row r="856" spans="1:2">
      <c r="A856" s="19">
        <f>Raw_Data!J856</f>
        <v>1195</v>
      </c>
      <c r="B856" s="19">
        <f>--(Raw_Data!B856="Yes")</f>
        <v>0</v>
      </c>
    </row>
    <row r="857" spans="1:2">
      <c r="A857" s="19">
        <f>Raw_Data!J857</f>
        <v>1196</v>
      </c>
      <c r="B857" s="19">
        <f>--(Raw_Data!B857="Yes")</f>
        <v>0</v>
      </c>
    </row>
    <row r="858" spans="1:2">
      <c r="A858" s="19">
        <f>Raw_Data!J858</f>
        <v>1198</v>
      </c>
      <c r="B858" s="19">
        <f>--(Raw_Data!B858="Yes")</f>
        <v>0</v>
      </c>
    </row>
    <row r="859" spans="1:2">
      <c r="A859" s="19">
        <f>Raw_Data!J859</f>
        <v>1200</v>
      </c>
      <c r="B859" s="19">
        <f>--(Raw_Data!B859="Yes")</f>
        <v>1</v>
      </c>
    </row>
    <row r="860" spans="1:2">
      <c r="A860" s="19">
        <f>Raw_Data!J860</f>
        <v>1201</v>
      </c>
      <c r="B860" s="19">
        <f>--(Raw_Data!B860="Yes")</f>
        <v>0</v>
      </c>
    </row>
    <row r="861" spans="1:2">
      <c r="A861" s="19">
        <f>Raw_Data!J861</f>
        <v>1202</v>
      </c>
      <c r="B861" s="19">
        <f>--(Raw_Data!B861="Yes")</f>
        <v>0</v>
      </c>
    </row>
    <row r="862" spans="1:2">
      <c r="A862" s="19">
        <f>Raw_Data!J862</f>
        <v>1203</v>
      </c>
      <c r="B862" s="19">
        <f>--(Raw_Data!B862="Yes")</f>
        <v>1</v>
      </c>
    </row>
    <row r="863" spans="1:2">
      <c r="A863" s="19">
        <f>Raw_Data!J863</f>
        <v>1204</v>
      </c>
      <c r="B863" s="19">
        <f>--(Raw_Data!B863="Yes")</f>
        <v>0</v>
      </c>
    </row>
    <row r="864" spans="1:2">
      <c r="A864" s="19">
        <f>Raw_Data!J864</f>
        <v>1206</v>
      </c>
      <c r="B864" s="19">
        <f>--(Raw_Data!B864="Yes")</f>
        <v>0</v>
      </c>
    </row>
    <row r="865" spans="1:2">
      <c r="A865" s="19">
        <f>Raw_Data!J865</f>
        <v>1207</v>
      </c>
      <c r="B865" s="19">
        <f>--(Raw_Data!B865="Yes")</f>
        <v>0</v>
      </c>
    </row>
    <row r="866" spans="1:2">
      <c r="A866" s="19">
        <f>Raw_Data!J866</f>
        <v>1210</v>
      </c>
      <c r="B866" s="19">
        <f>--(Raw_Data!B866="Yes")</f>
        <v>1</v>
      </c>
    </row>
    <row r="867" spans="1:2">
      <c r="A867" s="19">
        <f>Raw_Data!J867</f>
        <v>1211</v>
      </c>
      <c r="B867" s="19">
        <f>--(Raw_Data!B867="Yes")</f>
        <v>0</v>
      </c>
    </row>
    <row r="868" spans="1:2">
      <c r="A868" s="19">
        <f>Raw_Data!J868</f>
        <v>1212</v>
      </c>
      <c r="B868" s="19">
        <f>--(Raw_Data!B868="Yes")</f>
        <v>0</v>
      </c>
    </row>
    <row r="869" spans="1:2">
      <c r="A869" s="19">
        <f>Raw_Data!J869</f>
        <v>1215</v>
      </c>
      <c r="B869" s="19">
        <f>--(Raw_Data!B869="Yes")</f>
        <v>0</v>
      </c>
    </row>
    <row r="870" spans="1:2">
      <c r="A870" s="19">
        <f>Raw_Data!J870</f>
        <v>1216</v>
      </c>
      <c r="B870" s="19">
        <f>--(Raw_Data!B870="Yes")</f>
        <v>0</v>
      </c>
    </row>
    <row r="871" spans="1:2">
      <c r="A871" s="19">
        <f>Raw_Data!J871</f>
        <v>1217</v>
      </c>
      <c r="B871" s="19">
        <f>--(Raw_Data!B871="Yes")</f>
        <v>0</v>
      </c>
    </row>
    <row r="872" spans="1:2">
      <c r="A872" s="19">
        <f>Raw_Data!J872</f>
        <v>1218</v>
      </c>
      <c r="B872" s="19">
        <f>--(Raw_Data!B872="Yes")</f>
        <v>0</v>
      </c>
    </row>
    <row r="873" spans="1:2">
      <c r="A873" s="19">
        <f>Raw_Data!J873</f>
        <v>1219</v>
      </c>
      <c r="B873" s="19">
        <f>--(Raw_Data!B873="Yes")</f>
        <v>1</v>
      </c>
    </row>
    <row r="874" spans="1:2">
      <c r="A874" s="19">
        <f>Raw_Data!J874</f>
        <v>1220</v>
      </c>
      <c r="B874" s="19">
        <f>--(Raw_Data!B874="Yes")</f>
        <v>0</v>
      </c>
    </row>
    <row r="875" spans="1:2">
      <c r="A875" s="19">
        <f>Raw_Data!J875</f>
        <v>1221</v>
      </c>
      <c r="B875" s="19">
        <f>--(Raw_Data!B875="Yes")</f>
        <v>0</v>
      </c>
    </row>
    <row r="876" spans="1:2">
      <c r="A876" s="19">
        <f>Raw_Data!J876</f>
        <v>1224</v>
      </c>
      <c r="B876" s="19">
        <f>--(Raw_Data!B876="Yes")</f>
        <v>0</v>
      </c>
    </row>
    <row r="877" spans="1:2">
      <c r="A877" s="19">
        <f>Raw_Data!J877</f>
        <v>1225</v>
      </c>
      <c r="B877" s="19">
        <f>--(Raw_Data!B877="Yes")</f>
        <v>0</v>
      </c>
    </row>
    <row r="878" spans="1:2">
      <c r="A878" s="19">
        <f>Raw_Data!J878</f>
        <v>1226</v>
      </c>
      <c r="B878" s="19">
        <f>--(Raw_Data!B878="Yes")</f>
        <v>0</v>
      </c>
    </row>
    <row r="879" spans="1:2">
      <c r="A879" s="19">
        <f>Raw_Data!J879</f>
        <v>1228</v>
      </c>
      <c r="B879" s="19">
        <f>--(Raw_Data!B879="Yes")</f>
        <v>0</v>
      </c>
    </row>
    <row r="880" spans="1:2">
      <c r="A880" s="19">
        <f>Raw_Data!J880</f>
        <v>1231</v>
      </c>
      <c r="B880" s="19">
        <f>--(Raw_Data!B880="Yes")</f>
        <v>0</v>
      </c>
    </row>
    <row r="881" spans="1:2">
      <c r="A881" s="19">
        <f>Raw_Data!J881</f>
        <v>1233</v>
      </c>
      <c r="B881" s="19">
        <f>--(Raw_Data!B881="Yes")</f>
        <v>0</v>
      </c>
    </row>
    <row r="882" spans="1:2">
      <c r="A882" s="19">
        <f>Raw_Data!J882</f>
        <v>1234</v>
      </c>
      <c r="B882" s="19">
        <f>--(Raw_Data!B882="Yes")</f>
        <v>0</v>
      </c>
    </row>
    <row r="883" spans="1:2">
      <c r="A883" s="19">
        <f>Raw_Data!J883</f>
        <v>1235</v>
      </c>
      <c r="B883" s="19">
        <f>--(Raw_Data!B883="Yes")</f>
        <v>0</v>
      </c>
    </row>
    <row r="884" spans="1:2">
      <c r="A884" s="19">
        <f>Raw_Data!J884</f>
        <v>1237</v>
      </c>
      <c r="B884" s="19">
        <f>--(Raw_Data!B884="Yes")</f>
        <v>0</v>
      </c>
    </row>
    <row r="885" spans="1:2">
      <c r="A885" s="19">
        <f>Raw_Data!J885</f>
        <v>1238</v>
      </c>
      <c r="B885" s="19">
        <f>--(Raw_Data!B885="Yes")</f>
        <v>0</v>
      </c>
    </row>
    <row r="886" spans="1:2">
      <c r="A886" s="19">
        <f>Raw_Data!J886</f>
        <v>1239</v>
      </c>
      <c r="B886" s="19">
        <f>--(Raw_Data!B886="Yes")</f>
        <v>0</v>
      </c>
    </row>
    <row r="887" spans="1:2">
      <c r="A887" s="19">
        <f>Raw_Data!J887</f>
        <v>1240</v>
      </c>
      <c r="B887" s="19">
        <f>--(Raw_Data!B887="Yes")</f>
        <v>0</v>
      </c>
    </row>
    <row r="888" spans="1:2">
      <c r="A888" s="19">
        <f>Raw_Data!J888</f>
        <v>1241</v>
      </c>
      <c r="B888" s="19">
        <f>--(Raw_Data!B888="Yes")</f>
        <v>0</v>
      </c>
    </row>
    <row r="889" spans="1:2">
      <c r="A889" s="19">
        <f>Raw_Data!J889</f>
        <v>1242</v>
      </c>
      <c r="B889" s="19">
        <f>--(Raw_Data!B889="Yes")</f>
        <v>0</v>
      </c>
    </row>
    <row r="890" spans="1:2">
      <c r="A890" s="19">
        <f>Raw_Data!J890</f>
        <v>1243</v>
      </c>
      <c r="B890" s="19">
        <f>--(Raw_Data!B890="Yes")</f>
        <v>0</v>
      </c>
    </row>
    <row r="891" spans="1:2">
      <c r="A891" s="19">
        <f>Raw_Data!J891</f>
        <v>1244</v>
      </c>
      <c r="B891" s="19">
        <f>--(Raw_Data!B891="Yes")</f>
        <v>0</v>
      </c>
    </row>
    <row r="892" spans="1:2">
      <c r="A892" s="19">
        <f>Raw_Data!J892</f>
        <v>1245</v>
      </c>
      <c r="B892" s="19">
        <f>--(Raw_Data!B892="Yes")</f>
        <v>0</v>
      </c>
    </row>
    <row r="893" spans="1:2">
      <c r="A893" s="19">
        <f>Raw_Data!J893</f>
        <v>1246</v>
      </c>
      <c r="B893" s="19">
        <f>--(Raw_Data!B893="Yes")</f>
        <v>0</v>
      </c>
    </row>
    <row r="894" spans="1:2">
      <c r="A894" s="19">
        <f>Raw_Data!J894</f>
        <v>1248</v>
      </c>
      <c r="B894" s="19">
        <f>--(Raw_Data!B894="Yes")</f>
        <v>1</v>
      </c>
    </row>
    <row r="895" spans="1:2">
      <c r="A895" s="19">
        <f>Raw_Data!J895</f>
        <v>1249</v>
      </c>
      <c r="B895" s="19">
        <f>--(Raw_Data!B895="Yes")</f>
        <v>0</v>
      </c>
    </row>
    <row r="896" spans="1:2">
      <c r="A896" s="19">
        <f>Raw_Data!J896</f>
        <v>1250</v>
      </c>
      <c r="B896" s="19">
        <f>--(Raw_Data!B896="Yes")</f>
        <v>0</v>
      </c>
    </row>
    <row r="897" spans="1:2">
      <c r="A897" s="19">
        <f>Raw_Data!J897</f>
        <v>1251</v>
      </c>
      <c r="B897" s="19">
        <f>--(Raw_Data!B897="Yes")</f>
        <v>0</v>
      </c>
    </row>
    <row r="898" spans="1:2">
      <c r="A898" s="19">
        <f>Raw_Data!J898</f>
        <v>1252</v>
      </c>
      <c r="B898" s="19">
        <f>--(Raw_Data!B898="Yes")</f>
        <v>0</v>
      </c>
    </row>
    <row r="899" spans="1:2">
      <c r="A899" s="19">
        <f>Raw_Data!J899</f>
        <v>1254</v>
      </c>
      <c r="B899" s="19">
        <f>--(Raw_Data!B899="Yes")</f>
        <v>0</v>
      </c>
    </row>
    <row r="900" spans="1:2">
      <c r="A900" s="19">
        <f>Raw_Data!J900</f>
        <v>1255</v>
      </c>
      <c r="B900" s="19">
        <f>--(Raw_Data!B900="Yes")</f>
        <v>0</v>
      </c>
    </row>
    <row r="901" spans="1:2">
      <c r="A901" s="19">
        <f>Raw_Data!J901</f>
        <v>1256</v>
      </c>
      <c r="B901" s="19">
        <f>--(Raw_Data!B901="Yes")</f>
        <v>0</v>
      </c>
    </row>
    <row r="902" spans="1:2">
      <c r="A902" s="19">
        <f>Raw_Data!J902</f>
        <v>1257</v>
      </c>
      <c r="B902" s="19">
        <f>--(Raw_Data!B902="Yes")</f>
        <v>0</v>
      </c>
    </row>
    <row r="903" spans="1:2">
      <c r="A903" s="19">
        <f>Raw_Data!J903</f>
        <v>1258</v>
      </c>
      <c r="B903" s="19">
        <f>--(Raw_Data!B903="Yes")</f>
        <v>0</v>
      </c>
    </row>
    <row r="904" spans="1:2">
      <c r="A904" s="19">
        <f>Raw_Data!J904</f>
        <v>1259</v>
      </c>
      <c r="B904" s="19">
        <f>--(Raw_Data!B904="Yes")</f>
        <v>0</v>
      </c>
    </row>
    <row r="905" spans="1:2">
      <c r="A905" s="19">
        <f>Raw_Data!J905</f>
        <v>1260</v>
      </c>
      <c r="B905" s="19">
        <f>--(Raw_Data!B905="Yes")</f>
        <v>0</v>
      </c>
    </row>
    <row r="906" spans="1:2">
      <c r="A906" s="19">
        <f>Raw_Data!J906</f>
        <v>1263</v>
      </c>
      <c r="B906" s="19">
        <f>--(Raw_Data!B906="Yes")</f>
        <v>0</v>
      </c>
    </row>
    <row r="907" spans="1:2">
      <c r="A907" s="19">
        <f>Raw_Data!J907</f>
        <v>1264</v>
      </c>
      <c r="B907" s="19">
        <f>--(Raw_Data!B907="Yes")</f>
        <v>0</v>
      </c>
    </row>
    <row r="908" spans="1:2">
      <c r="A908" s="19">
        <f>Raw_Data!J908</f>
        <v>1265</v>
      </c>
      <c r="B908" s="19">
        <f>--(Raw_Data!B908="Yes")</f>
        <v>0</v>
      </c>
    </row>
    <row r="909" spans="1:2">
      <c r="A909" s="19">
        <f>Raw_Data!J909</f>
        <v>1267</v>
      </c>
      <c r="B909" s="19">
        <f>--(Raw_Data!B909="Yes")</f>
        <v>0</v>
      </c>
    </row>
    <row r="910" spans="1:2">
      <c r="A910" s="19">
        <f>Raw_Data!J910</f>
        <v>1268</v>
      </c>
      <c r="B910" s="19">
        <f>--(Raw_Data!B910="Yes")</f>
        <v>0</v>
      </c>
    </row>
    <row r="911" spans="1:2">
      <c r="A911" s="19">
        <f>Raw_Data!J911</f>
        <v>1269</v>
      </c>
      <c r="B911" s="19">
        <f>--(Raw_Data!B911="Yes")</f>
        <v>0</v>
      </c>
    </row>
    <row r="912" spans="1:2">
      <c r="A912" s="19">
        <f>Raw_Data!J912</f>
        <v>1270</v>
      </c>
      <c r="B912" s="19">
        <f>--(Raw_Data!B912="Yes")</f>
        <v>0</v>
      </c>
    </row>
    <row r="913" spans="1:2">
      <c r="A913" s="19">
        <f>Raw_Data!J913</f>
        <v>1273</v>
      </c>
      <c r="B913" s="19">
        <f>--(Raw_Data!B913="Yes")</f>
        <v>1</v>
      </c>
    </row>
    <row r="914" spans="1:2">
      <c r="A914" s="19">
        <f>Raw_Data!J914</f>
        <v>1275</v>
      </c>
      <c r="B914" s="19">
        <f>--(Raw_Data!B914="Yes")</f>
        <v>0</v>
      </c>
    </row>
    <row r="915" spans="1:2">
      <c r="A915" s="19">
        <f>Raw_Data!J915</f>
        <v>1277</v>
      </c>
      <c r="B915" s="19">
        <f>--(Raw_Data!B915="Yes")</f>
        <v>1</v>
      </c>
    </row>
    <row r="916" spans="1:2">
      <c r="A916" s="19">
        <f>Raw_Data!J916</f>
        <v>1278</v>
      </c>
      <c r="B916" s="19">
        <f>--(Raw_Data!B916="Yes")</f>
        <v>0</v>
      </c>
    </row>
    <row r="917" spans="1:2">
      <c r="A917" s="19">
        <f>Raw_Data!J917</f>
        <v>1279</v>
      </c>
      <c r="B917" s="19">
        <f>--(Raw_Data!B917="Yes")</f>
        <v>1</v>
      </c>
    </row>
    <row r="918" spans="1:2">
      <c r="A918" s="19">
        <f>Raw_Data!J918</f>
        <v>1280</v>
      </c>
      <c r="B918" s="19">
        <f>--(Raw_Data!B918="Yes")</f>
        <v>0</v>
      </c>
    </row>
    <row r="919" spans="1:2">
      <c r="A919" s="19">
        <f>Raw_Data!J919</f>
        <v>1281</v>
      </c>
      <c r="B919" s="19">
        <f>--(Raw_Data!B919="Yes")</f>
        <v>0</v>
      </c>
    </row>
    <row r="920" spans="1:2">
      <c r="A920" s="19">
        <f>Raw_Data!J920</f>
        <v>1282</v>
      </c>
      <c r="B920" s="19">
        <f>--(Raw_Data!B920="Yes")</f>
        <v>0</v>
      </c>
    </row>
    <row r="921" spans="1:2">
      <c r="A921" s="19">
        <f>Raw_Data!J921</f>
        <v>1283</v>
      </c>
      <c r="B921" s="19">
        <f>--(Raw_Data!B921="Yes")</f>
        <v>0</v>
      </c>
    </row>
    <row r="922" spans="1:2">
      <c r="A922" s="19">
        <f>Raw_Data!J922</f>
        <v>1285</v>
      </c>
      <c r="B922" s="19">
        <f>--(Raw_Data!B922="Yes")</f>
        <v>0</v>
      </c>
    </row>
    <row r="923" spans="1:2">
      <c r="A923" s="19">
        <f>Raw_Data!J923</f>
        <v>1286</v>
      </c>
      <c r="B923" s="19">
        <f>--(Raw_Data!B923="Yes")</f>
        <v>0</v>
      </c>
    </row>
    <row r="924" spans="1:2">
      <c r="A924" s="19">
        <f>Raw_Data!J924</f>
        <v>1288</v>
      </c>
      <c r="B924" s="19">
        <f>--(Raw_Data!B924="Yes")</f>
        <v>0</v>
      </c>
    </row>
    <row r="925" spans="1:2">
      <c r="A925" s="19">
        <f>Raw_Data!J925</f>
        <v>1289</v>
      </c>
      <c r="B925" s="19">
        <f>--(Raw_Data!B925="Yes")</f>
        <v>0</v>
      </c>
    </row>
    <row r="926" spans="1:2">
      <c r="A926" s="19">
        <f>Raw_Data!J926</f>
        <v>1291</v>
      </c>
      <c r="B926" s="19">
        <f>--(Raw_Data!B926="Yes")</f>
        <v>0</v>
      </c>
    </row>
    <row r="927" spans="1:2">
      <c r="A927" s="19">
        <f>Raw_Data!J927</f>
        <v>1292</v>
      </c>
      <c r="B927" s="19">
        <f>--(Raw_Data!B927="Yes")</f>
        <v>0</v>
      </c>
    </row>
    <row r="928" spans="1:2">
      <c r="A928" s="19">
        <f>Raw_Data!J928</f>
        <v>1293</v>
      </c>
      <c r="B928" s="19">
        <f>--(Raw_Data!B928="Yes")</f>
        <v>0</v>
      </c>
    </row>
    <row r="929" spans="1:2">
      <c r="A929" s="19">
        <f>Raw_Data!J929</f>
        <v>1294</v>
      </c>
      <c r="B929" s="19">
        <f>--(Raw_Data!B929="Yes")</f>
        <v>0</v>
      </c>
    </row>
    <row r="930" spans="1:2">
      <c r="A930" s="19">
        <f>Raw_Data!J930</f>
        <v>1295</v>
      </c>
      <c r="B930" s="19">
        <f>--(Raw_Data!B930="Yes")</f>
        <v>1</v>
      </c>
    </row>
    <row r="931" spans="1:2">
      <c r="A931" s="19">
        <f>Raw_Data!J931</f>
        <v>1296</v>
      </c>
      <c r="B931" s="19">
        <f>--(Raw_Data!B931="Yes")</f>
        <v>0</v>
      </c>
    </row>
    <row r="932" spans="1:2">
      <c r="A932" s="19">
        <f>Raw_Data!J932</f>
        <v>1297</v>
      </c>
      <c r="B932" s="19">
        <f>--(Raw_Data!B932="Yes")</f>
        <v>0</v>
      </c>
    </row>
    <row r="933" spans="1:2">
      <c r="A933" s="19">
        <f>Raw_Data!J933</f>
        <v>1298</v>
      </c>
      <c r="B933" s="19">
        <f>--(Raw_Data!B933="Yes")</f>
        <v>0</v>
      </c>
    </row>
    <row r="934" spans="1:2">
      <c r="A934" s="19">
        <f>Raw_Data!J934</f>
        <v>1299</v>
      </c>
      <c r="B934" s="19">
        <f>--(Raw_Data!B934="Yes")</f>
        <v>1</v>
      </c>
    </row>
    <row r="935" spans="1:2">
      <c r="A935" s="19">
        <f>Raw_Data!J935</f>
        <v>1301</v>
      </c>
      <c r="B935" s="19">
        <f>--(Raw_Data!B935="Yes")</f>
        <v>0</v>
      </c>
    </row>
    <row r="936" spans="1:2">
      <c r="A936" s="19">
        <f>Raw_Data!J936</f>
        <v>1303</v>
      </c>
      <c r="B936" s="19">
        <f>--(Raw_Data!B936="Yes")</f>
        <v>0</v>
      </c>
    </row>
    <row r="937" spans="1:2">
      <c r="A937" s="19">
        <f>Raw_Data!J937</f>
        <v>1304</v>
      </c>
      <c r="B937" s="19">
        <f>--(Raw_Data!B937="Yes")</f>
        <v>0</v>
      </c>
    </row>
    <row r="938" spans="1:2">
      <c r="A938" s="19">
        <f>Raw_Data!J938</f>
        <v>1306</v>
      </c>
      <c r="B938" s="19">
        <f>--(Raw_Data!B938="Yes")</f>
        <v>0</v>
      </c>
    </row>
    <row r="939" spans="1:2">
      <c r="A939" s="19">
        <f>Raw_Data!J939</f>
        <v>1307</v>
      </c>
      <c r="B939" s="19">
        <f>--(Raw_Data!B939="Yes")</f>
        <v>0</v>
      </c>
    </row>
    <row r="940" spans="1:2">
      <c r="A940" s="19">
        <f>Raw_Data!J940</f>
        <v>1308</v>
      </c>
      <c r="B940" s="19">
        <f>--(Raw_Data!B940="Yes")</f>
        <v>0</v>
      </c>
    </row>
    <row r="941" spans="1:2">
      <c r="A941" s="19">
        <f>Raw_Data!J941</f>
        <v>1309</v>
      </c>
      <c r="B941" s="19">
        <f>--(Raw_Data!B941="Yes")</f>
        <v>1</v>
      </c>
    </row>
    <row r="942" spans="1:2">
      <c r="A942" s="19">
        <f>Raw_Data!J942</f>
        <v>1310</v>
      </c>
      <c r="B942" s="19">
        <f>--(Raw_Data!B942="Yes")</f>
        <v>1</v>
      </c>
    </row>
    <row r="943" spans="1:2">
      <c r="A943" s="19">
        <f>Raw_Data!J943</f>
        <v>1311</v>
      </c>
      <c r="B943" s="19">
        <f>--(Raw_Data!B943="Yes")</f>
        <v>0</v>
      </c>
    </row>
    <row r="944" spans="1:2">
      <c r="A944" s="19">
        <f>Raw_Data!J944</f>
        <v>1312</v>
      </c>
      <c r="B944" s="19">
        <f>--(Raw_Data!B944="Yes")</f>
        <v>0</v>
      </c>
    </row>
    <row r="945" spans="1:2">
      <c r="A945" s="19">
        <f>Raw_Data!J945</f>
        <v>1314</v>
      </c>
      <c r="B945" s="19">
        <f>--(Raw_Data!B945="Yes")</f>
        <v>0</v>
      </c>
    </row>
    <row r="946" spans="1:2">
      <c r="A946" s="19">
        <f>Raw_Data!J946</f>
        <v>1315</v>
      </c>
      <c r="B946" s="19">
        <f>--(Raw_Data!B946="Yes")</f>
        <v>0</v>
      </c>
    </row>
    <row r="947" spans="1:2">
      <c r="A947" s="19">
        <f>Raw_Data!J947</f>
        <v>1317</v>
      </c>
      <c r="B947" s="19">
        <f>--(Raw_Data!B947="Yes")</f>
        <v>0</v>
      </c>
    </row>
    <row r="948" spans="1:2">
      <c r="A948" s="19">
        <f>Raw_Data!J948</f>
        <v>1318</v>
      </c>
      <c r="B948" s="19">
        <f>--(Raw_Data!B948="Yes")</f>
        <v>1</v>
      </c>
    </row>
    <row r="949" spans="1:2">
      <c r="A949" s="19">
        <f>Raw_Data!J949</f>
        <v>1319</v>
      </c>
      <c r="B949" s="19">
        <f>--(Raw_Data!B949="Yes")</f>
        <v>1</v>
      </c>
    </row>
    <row r="950" spans="1:2">
      <c r="A950" s="19">
        <f>Raw_Data!J950</f>
        <v>1321</v>
      </c>
      <c r="B950" s="19">
        <f>--(Raw_Data!B950="Yes")</f>
        <v>0</v>
      </c>
    </row>
    <row r="951" spans="1:2">
      <c r="A951" s="19">
        <f>Raw_Data!J951</f>
        <v>1322</v>
      </c>
      <c r="B951" s="19">
        <f>--(Raw_Data!B951="Yes")</f>
        <v>0</v>
      </c>
    </row>
    <row r="952" spans="1:2">
      <c r="A952" s="19">
        <f>Raw_Data!J952</f>
        <v>1324</v>
      </c>
      <c r="B952" s="19">
        <f>--(Raw_Data!B952="Yes")</f>
        <v>0</v>
      </c>
    </row>
    <row r="953" spans="1:2">
      <c r="A953" s="19">
        <f>Raw_Data!J953</f>
        <v>1329</v>
      </c>
      <c r="B953" s="19">
        <f>--(Raw_Data!B953="Yes")</f>
        <v>0</v>
      </c>
    </row>
    <row r="954" spans="1:2">
      <c r="A954" s="19">
        <f>Raw_Data!J954</f>
        <v>1331</v>
      </c>
      <c r="B954" s="19">
        <f>--(Raw_Data!B954="Yes")</f>
        <v>1</v>
      </c>
    </row>
    <row r="955" spans="1:2">
      <c r="A955" s="19">
        <f>Raw_Data!J955</f>
        <v>1333</v>
      </c>
      <c r="B955" s="19">
        <f>--(Raw_Data!B955="Yes")</f>
        <v>1</v>
      </c>
    </row>
    <row r="956" spans="1:2">
      <c r="A956" s="19">
        <f>Raw_Data!J956</f>
        <v>1334</v>
      </c>
      <c r="B956" s="19">
        <f>--(Raw_Data!B956="Yes")</f>
        <v>0</v>
      </c>
    </row>
    <row r="957" spans="1:2">
      <c r="A957" s="19">
        <f>Raw_Data!J957</f>
        <v>1336</v>
      </c>
      <c r="B957" s="19">
        <f>--(Raw_Data!B957="Yes")</f>
        <v>0</v>
      </c>
    </row>
    <row r="958" spans="1:2">
      <c r="A958" s="19">
        <f>Raw_Data!J958</f>
        <v>1338</v>
      </c>
      <c r="B958" s="19">
        <f>--(Raw_Data!B958="Yes")</f>
        <v>0</v>
      </c>
    </row>
    <row r="959" spans="1:2">
      <c r="A959" s="19">
        <f>Raw_Data!J959</f>
        <v>1340</v>
      </c>
      <c r="B959" s="19">
        <f>--(Raw_Data!B959="Yes")</f>
        <v>0</v>
      </c>
    </row>
    <row r="960" spans="1:2">
      <c r="A960" s="19">
        <f>Raw_Data!J960</f>
        <v>1344</v>
      </c>
      <c r="B960" s="19">
        <f>--(Raw_Data!B960="Yes")</f>
        <v>0</v>
      </c>
    </row>
    <row r="961" spans="1:2">
      <c r="A961" s="19">
        <f>Raw_Data!J961</f>
        <v>1346</v>
      </c>
      <c r="B961" s="19">
        <f>--(Raw_Data!B961="Yes")</f>
        <v>0</v>
      </c>
    </row>
    <row r="962" spans="1:2">
      <c r="A962" s="19">
        <f>Raw_Data!J962</f>
        <v>1349</v>
      </c>
      <c r="B962" s="19">
        <f>--(Raw_Data!B962="Yes")</f>
        <v>0</v>
      </c>
    </row>
    <row r="963" spans="1:2">
      <c r="A963" s="19">
        <f>Raw_Data!J963</f>
        <v>1350</v>
      </c>
      <c r="B963" s="19">
        <f>--(Raw_Data!B963="Yes")</f>
        <v>0</v>
      </c>
    </row>
    <row r="964" spans="1:2">
      <c r="A964" s="19">
        <f>Raw_Data!J964</f>
        <v>1352</v>
      </c>
      <c r="B964" s="19">
        <f>--(Raw_Data!B964="Yes")</f>
        <v>0</v>
      </c>
    </row>
    <row r="965" spans="1:2">
      <c r="A965" s="19">
        <f>Raw_Data!J965</f>
        <v>1355</v>
      </c>
      <c r="B965" s="19">
        <f>--(Raw_Data!B965="Yes")</f>
        <v>0</v>
      </c>
    </row>
    <row r="966" spans="1:2">
      <c r="A966" s="19">
        <f>Raw_Data!J966</f>
        <v>1356</v>
      </c>
      <c r="B966" s="19">
        <f>--(Raw_Data!B966="Yes")</f>
        <v>0</v>
      </c>
    </row>
    <row r="967" spans="1:2">
      <c r="A967" s="19">
        <f>Raw_Data!J967</f>
        <v>1358</v>
      </c>
      <c r="B967" s="19">
        <f>--(Raw_Data!B967="Yes")</f>
        <v>0</v>
      </c>
    </row>
    <row r="968" spans="1:2">
      <c r="A968" s="19">
        <f>Raw_Data!J968</f>
        <v>1360</v>
      </c>
      <c r="B968" s="19">
        <f>--(Raw_Data!B968="Yes")</f>
        <v>1</v>
      </c>
    </row>
    <row r="969" spans="1:2">
      <c r="A969" s="19">
        <f>Raw_Data!J969</f>
        <v>1361</v>
      </c>
      <c r="B969" s="19">
        <f>--(Raw_Data!B969="Yes")</f>
        <v>0</v>
      </c>
    </row>
    <row r="970" spans="1:2">
      <c r="A970" s="19">
        <f>Raw_Data!J970</f>
        <v>1362</v>
      </c>
      <c r="B970" s="19">
        <f>--(Raw_Data!B970="Yes")</f>
        <v>0</v>
      </c>
    </row>
    <row r="971" spans="1:2">
      <c r="A971" s="19">
        <f>Raw_Data!J971</f>
        <v>1363</v>
      </c>
      <c r="B971" s="19">
        <f>--(Raw_Data!B971="Yes")</f>
        <v>0</v>
      </c>
    </row>
    <row r="972" spans="1:2">
      <c r="A972" s="19">
        <f>Raw_Data!J972</f>
        <v>1364</v>
      </c>
      <c r="B972" s="19">
        <f>--(Raw_Data!B972="Yes")</f>
        <v>0</v>
      </c>
    </row>
    <row r="973" spans="1:2">
      <c r="A973" s="19">
        <f>Raw_Data!J973</f>
        <v>1367</v>
      </c>
      <c r="B973" s="19">
        <f>--(Raw_Data!B973="Yes")</f>
        <v>0</v>
      </c>
    </row>
    <row r="974" spans="1:2">
      <c r="A974" s="19">
        <f>Raw_Data!J974</f>
        <v>1368</v>
      </c>
      <c r="B974" s="19">
        <f>--(Raw_Data!B974="Yes")</f>
        <v>0</v>
      </c>
    </row>
    <row r="975" spans="1:2">
      <c r="A975" s="19">
        <f>Raw_Data!J975</f>
        <v>1369</v>
      </c>
      <c r="B975" s="19">
        <f>--(Raw_Data!B975="Yes")</f>
        <v>0</v>
      </c>
    </row>
    <row r="976" spans="1:2">
      <c r="A976" s="19">
        <f>Raw_Data!J976</f>
        <v>1371</v>
      </c>
      <c r="B976" s="19">
        <f>--(Raw_Data!B976="Yes")</f>
        <v>0</v>
      </c>
    </row>
    <row r="977" spans="1:2">
      <c r="A977" s="19">
        <f>Raw_Data!J977</f>
        <v>1372</v>
      </c>
      <c r="B977" s="19">
        <f>--(Raw_Data!B977="Yes")</f>
        <v>1</v>
      </c>
    </row>
    <row r="978" spans="1:2">
      <c r="A978" s="19">
        <f>Raw_Data!J978</f>
        <v>1373</v>
      </c>
      <c r="B978" s="19">
        <f>--(Raw_Data!B978="Yes")</f>
        <v>0</v>
      </c>
    </row>
    <row r="979" spans="1:2">
      <c r="A979" s="19">
        <f>Raw_Data!J979</f>
        <v>1374</v>
      </c>
      <c r="B979" s="19">
        <f>--(Raw_Data!B979="Yes")</f>
        <v>0</v>
      </c>
    </row>
    <row r="980" spans="1:2">
      <c r="A980" s="19">
        <f>Raw_Data!J980</f>
        <v>1375</v>
      </c>
      <c r="B980" s="19">
        <f>--(Raw_Data!B980="Yes")</f>
        <v>0</v>
      </c>
    </row>
    <row r="981" spans="1:2">
      <c r="A981" s="19">
        <f>Raw_Data!J981</f>
        <v>1377</v>
      </c>
      <c r="B981" s="19">
        <f>--(Raw_Data!B981="Yes")</f>
        <v>0</v>
      </c>
    </row>
    <row r="982" spans="1:2">
      <c r="A982" s="19">
        <f>Raw_Data!J982</f>
        <v>1379</v>
      </c>
      <c r="B982" s="19">
        <f>--(Raw_Data!B982="Yes")</f>
        <v>1</v>
      </c>
    </row>
    <row r="983" spans="1:2">
      <c r="A983" s="19">
        <f>Raw_Data!J983</f>
        <v>1380</v>
      </c>
      <c r="B983" s="19">
        <f>--(Raw_Data!B983="Yes")</f>
        <v>1</v>
      </c>
    </row>
    <row r="984" spans="1:2">
      <c r="A984" s="19">
        <f>Raw_Data!J984</f>
        <v>1382</v>
      </c>
      <c r="B984" s="19">
        <f>--(Raw_Data!B984="Yes")</f>
        <v>0</v>
      </c>
    </row>
    <row r="985" spans="1:2">
      <c r="A985" s="19">
        <f>Raw_Data!J985</f>
        <v>1383</v>
      </c>
      <c r="B985" s="19">
        <f>--(Raw_Data!B985="Yes")</f>
        <v>0</v>
      </c>
    </row>
    <row r="986" spans="1:2">
      <c r="A986" s="19">
        <f>Raw_Data!J986</f>
        <v>1387</v>
      </c>
      <c r="B986" s="19">
        <f>--(Raw_Data!B986="Yes")</f>
        <v>0</v>
      </c>
    </row>
    <row r="987" spans="1:2">
      <c r="A987" s="19">
        <f>Raw_Data!J987</f>
        <v>1389</v>
      </c>
      <c r="B987" s="19">
        <f>--(Raw_Data!B987="Yes")</f>
        <v>1</v>
      </c>
    </row>
    <row r="988" spans="1:2">
      <c r="A988" s="19">
        <f>Raw_Data!J988</f>
        <v>1390</v>
      </c>
      <c r="B988" s="19">
        <f>--(Raw_Data!B988="Yes")</f>
        <v>0</v>
      </c>
    </row>
    <row r="989" spans="1:2">
      <c r="A989" s="19">
        <f>Raw_Data!J989</f>
        <v>1391</v>
      </c>
      <c r="B989" s="19">
        <f>--(Raw_Data!B989="Yes")</f>
        <v>0</v>
      </c>
    </row>
    <row r="990" spans="1:2">
      <c r="A990" s="19">
        <f>Raw_Data!J990</f>
        <v>1392</v>
      </c>
      <c r="B990" s="19">
        <f>--(Raw_Data!B990="Yes")</f>
        <v>0</v>
      </c>
    </row>
    <row r="991" spans="1:2">
      <c r="A991" s="19">
        <f>Raw_Data!J991</f>
        <v>1394</v>
      </c>
      <c r="B991" s="19">
        <f>--(Raw_Data!B991="Yes")</f>
        <v>0</v>
      </c>
    </row>
    <row r="992" spans="1:2">
      <c r="A992" s="19">
        <f>Raw_Data!J992</f>
        <v>1395</v>
      </c>
      <c r="B992" s="19">
        <f>--(Raw_Data!B992="Yes")</f>
        <v>0</v>
      </c>
    </row>
    <row r="993" spans="1:2">
      <c r="A993" s="19">
        <f>Raw_Data!J993</f>
        <v>1396</v>
      </c>
      <c r="B993" s="19">
        <f>--(Raw_Data!B993="Yes")</f>
        <v>0</v>
      </c>
    </row>
    <row r="994" spans="1:2">
      <c r="A994" s="19">
        <f>Raw_Data!J994</f>
        <v>1397</v>
      </c>
      <c r="B994" s="19">
        <f>--(Raw_Data!B994="Yes")</f>
        <v>0</v>
      </c>
    </row>
    <row r="995" spans="1:2">
      <c r="A995" s="19">
        <f>Raw_Data!J995</f>
        <v>1399</v>
      </c>
      <c r="B995" s="19">
        <f>--(Raw_Data!B995="Yes")</f>
        <v>0</v>
      </c>
    </row>
    <row r="996" spans="1:2">
      <c r="A996" s="19">
        <f>Raw_Data!J996</f>
        <v>1401</v>
      </c>
      <c r="B996" s="19">
        <f>--(Raw_Data!B996="Yes")</f>
        <v>0</v>
      </c>
    </row>
    <row r="997" spans="1:2">
      <c r="A997" s="19">
        <f>Raw_Data!J997</f>
        <v>1402</v>
      </c>
      <c r="B997" s="19">
        <f>--(Raw_Data!B997="Yes")</f>
        <v>0</v>
      </c>
    </row>
    <row r="998" spans="1:2">
      <c r="A998" s="19">
        <f>Raw_Data!J998</f>
        <v>1403</v>
      </c>
      <c r="B998" s="19">
        <f>--(Raw_Data!B998="Yes")</f>
        <v>0</v>
      </c>
    </row>
    <row r="999" spans="1:2">
      <c r="A999" s="19">
        <f>Raw_Data!J999</f>
        <v>1405</v>
      </c>
      <c r="B999" s="19">
        <f>--(Raw_Data!B999="Yes")</f>
        <v>1</v>
      </c>
    </row>
    <row r="1000" spans="1:2">
      <c r="A1000" s="19">
        <f>Raw_Data!J1000</f>
        <v>1407</v>
      </c>
      <c r="B1000" s="19">
        <f>--(Raw_Data!B1000="Yes")</f>
        <v>0</v>
      </c>
    </row>
    <row r="1001" spans="1:2">
      <c r="A1001" s="19">
        <f>Raw_Data!J1001</f>
        <v>1408</v>
      </c>
      <c r="B1001" s="19">
        <f>--(Raw_Data!B1001="Yes")</f>
        <v>0</v>
      </c>
    </row>
    <row r="1002" spans="1:2">
      <c r="A1002" s="19">
        <f>Raw_Data!J1002</f>
        <v>1409</v>
      </c>
      <c r="B1002" s="19">
        <f>--(Raw_Data!B1002="Yes")</f>
        <v>0</v>
      </c>
    </row>
    <row r="1003" spans="1:2">
      <c r="A1003" s="19">
        <f>Raw_Data!J1003</f>
        <v>1411</v>
      </c>
      <c r="B1003" s="19">
        <f>--(Raw_Data!B1003="Yes")</f>
        <v>0</v>
      </c>
    </row>
    <row r="1004" spans="1:2">
      <c r="A1004" s="19">
        <f>Raw_Data!J1004</f>
        <v>1412</v>
      </c>
      <c r="B1004" s="19">
        <f>--(Raw_Data!B1004="Yes")</f>
        <v>0</v>
      </c>
    </row>
    <row r="1005" spans="1:2">
      <c r="A1005" s="19">
        <f>Raw_Data!J1005</f>
        <v>1415</v>
      </c>
      <c r="B1005" s="19">
        <f>--(Raw_Data!B1005="Yes")</f>
        <v>0</v>
      </c>
    </row>
    <row r="1006" spans="1:2">
      <c r="A1006" s="19">
        <f>Raw_Data!J1006</f>
        <v>1417</v>
      </c>
      <c r="B1006" s="19">
        <f>--(Raw_Data!B1006="Yes")</f>
        <v>0</v>
      </c>
    </row>
    <row r="1007" spans="1:2">
      <c r="A1007" s="19">
        <f>Raw_Data!J1007</f>
        <v>1419</v>
      </c>
      <c r="B1007" s="19">
        <f>--(Raw_Data!B1007="Yes")</f>
        <v>0</v>
      </c>
    </row>
    <row r="1008" spans="1:2">
      <c r="A1008" s="19">
        <f>Raw_Data!J1008</f>
        <v>1420</v>
      </c>
      <c r="B1008" s="19">
        <f>--(Raw_Data!B1008="Yes")</f>
        <v>1</v>
      </c>
    </row>
    <row r="1009" spans="1:2">
      <c r="A1009" s="19">
        <f>Raw_Data!J1009</f>
        <v>1421</v>
      </c>
      <c r="B1009" s="19">
        <f>--(Raw_Data!B1009="Yes")</f>
        <v>1</v>
      </c>
    </row>
    <row r="1010" spans="1:2">
      <c r="A1010" s="19">
        <f>Raw_Data!J1010</f>
        <v>1422</v>
      </c>
      <c r="B1010" s="19">
        <f>--(Raw_Data!B1010="Yes")</f>
        <v>0</v>
      </c>
    </row>
    <row r="1011" spans="1:2">
      <c r="A1011" s="19">
        <f>Raw_Data!J1011</f>
        <v>1423</v>
      </c>
      <c r="B1011" s="19">
        <f>--(Raw_Data!B1011="Yes")</f>
        <v>0</v>
      </c>
    </row>
    <row r="1012" spans="1:2">
      <c r="A1012" s="19">
        <f>Raw_Data!J1012</f>
        <v>1424</v>
      </c>
      <c r="B1012" s="19">
        <f>--(Raw_Data!B1012="Yes")</f>
        <v>0</v>
      </c>
    </row>
    <row r="1013" spans="1:2">
      <c r="A1013" s="19">
        <f>Raw_Data!J1013</f>
        <v>1425</v>
      </c>
      <c r="B1013" s="19">
        <f>--(Raw_Data!B1013="Yes")</f>
        <v>0</v>
      </c>
    </row>
    <row r="1014" spans="1:2">
      <c r="A1014" s="19">
        <f>Raw_Data!J1014</f>
        <v>1427</v>
      </c>
      <c r="B1014" s="19">
        <f>--(Raw_Data!B1014="Yes")</f>
        <v>1</v>
      </c>
    </row>
    <row r="1015" spans="1:2">
      <c r="A1015" s="19">
        <f>Raw_Data!J1015</f>
        <v>1428</v>
      </c>
      <c r="B1015" s="19">
        <f>--(Raw_Data!B1015="Yes")</f>
        <v>0</v>
      </c>
    </row>
    <row r="1016" spans="1:2">
      <c r="A1016" s="19">
        <f>Raw_Data!J1016</f>
        <v>1430</v>
      </c>
      <c r="B1016" s="19">
        <f>--(Raw_Data!B1016="Yes")</f>
        <v>0</v>
      </c>
    </row>
    <row r="1017" spans="1:2">
      <c r="A1017" s="19">
        <f>Raw_Data!J1017</f>
        <v>1431</v>
      </c>
      <c r="B1017" s="19">
        <f>--(Raw_Data!B1017="Yes")</f>
        <v>0</v>
      </c>
    </row>
    <row r="1018" spans="1:2">
      <c r="A1018" s="19">
        <f>Raw_Data!J1018</f>
        <v>1433</v>
      </c>
      <c r="B1018" s="19">
        <f>--(Raw_Data!B1018="Yes")</f>
        <v>1</v>
      </c>
    </row>
    <row r="1019" spans="1:2">
      <c r="A1019" s="19">
        <f>Raw_Data!J1019</f>
        <v>1434</v>
      </c>
      <c r="B1019" s="19">
        <f>--(Raw_Data!B1019="Yes")</f>
        <v>0</v>
      </c>
    </row>
    <row r="1020" spans="1:2">
      <c r="A1020" s="19">
        <f>Raw_Data!J1020</f>
        <v>1435</v>
      </c>
      <c r="B1020" s="19">
        <f>--(Raw_Data!B1020="Yes")</f>
        <v>0</v>
      </c>
    </row>
    <row r="1021" spans="1:2">
      <c r="A1021" s="19">
        <f>Raw_Data!J1021</f>
        <v>1436</v>
      </c>
      <c r="B1021" s="19">
        <f>--(Raw_Data!B1021="Yes")</f>
        <v>0</v>
      </c>
    </row>
    <row r="1022" spans="1:2">
      <c r="A1022" s="19">
        <f>Raw_Data!J1022</f>
        <v>1438</v>
      </c>
      <c r="B1022" s="19">
        <f>--(Raw_Data!B1022="Yes")</f>
        <v>0</v>
      </c>
    </row>
    <row r="1023" spans="1:2">
      <c r="A1023" s="19">
        <f>Raw_Data!J1023</f>
        <v>1439</v>
      </c>
      <c r="B1023" s="19">
        <f>--(Raw_Data!B1023="Yes")</f>
        <v>1</v>
      </c>
    </row>
    <row r="1024" spans="1:2">
      <c r="A1024" s="19">
        <f>Raw_Data!J1024</f>
        <v>1440</v>
      </c>
      <c r="B1024" s="19">
        <f>--(Raw_Data!B1024="Yes")</f>
        <v>0</v>
      </c>
    </row>
    <row r="1025" spans="1:2">
      <c r="A1025" s="19">
        <f>Raw_Data!J1025</f>
        <v>1441</v>
      </c>
      <c r="B1025" s="19">
        <f>--(Raw_Data!B1025="Yes")</f>
        <v>0</v>
      </c>
    </row>
    <row r="1026" spans="1:2">
      <c r="A1026" s="19">
        <f>Raw_Data!J1026</f>
        <v>1443</v>
      </c>
      <c r="B1026" s="19">
        <f>--(Raw_Data!B1026="Yes")</f>
        <v>0</v>
      </c>
    </row>
    <row r="1027" spans="1:2">
      <c r="A1027" s="19">
        <f>Raw_Data!J1027</f>
        <v>1445</v>
      </c>
      <c r="B1027" s="19">
        <f>--(Raw_Data!B1027="Yes")</f>
        <v>0</v>
      </c>
    </row>
    <row r="1028" spans="1:2">
      <c r="A1028" s="19">
        <f>Raw_Data!J1028</f>
        <v>1446</v>
      </c>
      <c r="B1028" s="19">
        <f>--(Raw_Data!B1028="Yes")</f>
        <v>0</v>
      </c>
    </row>
    <row r="1029" spans="1:2">
      <c r="A1029" s="19">
        <f>Raw_Data!J1029</f>
        <v>1447</v>
      </c>
      <c r="B1029" s="19">
        <f>--(Raw_Data!B1029="Yes")</f>
        <v>0</v>
      </c>
    </row>
    <row r="1030" spans="1:2">
      <c r="A1030" s="19">
        <f>Raw_Data!J1030</f>
        <v>1448</v>
      </c>
      <c r="B1030" s="19">
        <f>--(Raw_Data!B1030="Yes")</f>
        <v>0</v>
      </c>
    </row>
    <row r="1031" spans="1:2">
      <c r="A1031" s="19">
        <f>Raw_Data!J1031</f>
        <v>1449</v>
      </c>
      <c r="B1031" s="19">
        <f>--(Raw_Data!B1031="Yes")</f>
        <v>0</v>
      </c>
    </row>
    <row r="1032" spans="1:2">
      <c r="A1032" s="19">
        <f>Raw_Data!J1032</f>
        <v>1453</v>
      </c>
      <c r="B1032" s="19">
        <f>--(Raw_Data!B1032="Yes")</f>
        <v>0</v>
      </c>
    </row>
    <row r="1033" spans="1:2">
      <c r="A1033" s="19">
        <f>Raw_Data!J1033</f>
        <v>1457</v>
      </c>
      <c r="B1033" s="19">
        <f>--(Raw_Data!B1033="Yes")</f>
        <v>1</v>
      </c>
    </row>
    <row r="1034" spans="1:2">
      <c r="A1034" s="19">
        <f>Raw_Data!J1034</f>
        <v>1458</v>
      </c>
      <c r="B1034" s="19">
        <f>--(Raw_Data!B1034="Yes")</f>
        <v>1</v>
      </c>
    </row>
    <row r="1035" spans="1:2">
      <c r="A1035" s="19">
        <f>Raw_Data!J1035</f>
        <v>1459</v>
      </c>
      <c r="B1035" s="19">
        <f>--(Raw_Data!B1035="Yes")</f>
        <v>1</v>
      </c>
    </row>
    <row r="1036" spans="1:2">
      <c r="A1036" s="19">
        <f>Raw_Data!J1036</f>
        <v>1460</v>
      </c>
      <c r="B1036" s="19">
        <f>--(Raw_Data!B1036="Yes")</f>
        <v>0</v>
      </c>
    </row>
    <row r="1037" spans="1:2">
      <c r="A1037" s="19">
        <f>Raw_Data!J1037</f>
        <v>1461</v>
      </c>
      <c r="B1037" s="19">
        <f>--(Raw_Data!B1037="Yes")</f>
        <v>0</v>
      </c>
    </row>
    <row r="1038" spans="1:2">
      <c r="A1038" s="19">
        <f>Raw_Data!J1038</f>
        <v>1464</v>
      </c>
      <c r="B1038" s="19">
        <f>--(Raw_Data!B1038="Yes")</f>
        <v>1</v>
      </c>
    </row>
    <row r="1039" spans="1:2">
      <c r="A1039" s="19">
        <f>Raw_Data!J1039</f>
        <v>1465</v>
      </c>
      <c r="B1039" s="19">
        <f>--(Raw_Data!B1039="Yes")</f>
        <v>0</v>
      </c>
    </row>
    <row r="1040" spans="1:2">
      <c r="A1040" s="19">
        <f>Raw_Data!J1040</f>
        <v>1466</v>
      </c>
      <c r="B1040" s="19">
        <f>--(Raw_Data!B1040="Yes")</f>
        <v>0</v>
      </c>
    </row>
    <row r="1041" spans="1:2">
      <c r="A1041" s="19">
        <f>Raw_Data!J1041</f>
        <v>1467</v>
      </c>
      <c r="B1041" s="19">
        <f>--(Raw_Data!B1041="Yes")</f>
        <v>1</v>
      </c>
    </row>
    <row r="1042" spans="1:2">
      <c r="A1042" s="19">
        <f>Raw_Data!J1042</f>
        <v>1468</v>
      </c>
      <c r="B1042" s="19">
        <f>--(Raw_Data!B1042="Yes")</f>
        <v>0</v>
      </c>
    </row>
    <row r="1043" spans="1:2">
      <c r="A1043" s="19">
        <f>Raw_Data!J1043</f>
        <v>1469</v>
      </c>
      <c r="B1043" s="19">
        <f>--(Raw_Data!B1043="Yes")</f>
        <v>0</v>
      </c>
    </row>
    <row r="1044" spans="1:2">
      <c r="A1044" s="19">
        <f>Raw_Data!J1044</f>
        <v>1471</v>
      </c>
      <c r="B1044" s="19">
        <f>--(Raw_Data!B1044="Yes")</f>
        <v>0</v>
      </c>
    </row>
    <row r="1045" spans="1:2">
      <c r="A1045" s="19">
        <f>Raw_Data!J1045</f>
        <v>1472</v>
      </c>
      <c r="B1045" s="19">
        <f>--(Raw_Data!B1045="Yes")</f>
        <v>0</v>
      </c>
    </row>
    <row r="1046" spans="1:2">
      <c r="A1046" s="19">
        <f>Raw_Data!J1046</f>
        <v>1473</v>
      </c>
      <c r="B1046" s="19">
        <f>--(Raw_Data!B1046="Yes")</f>
        <v>0</v>
      </c>
    </row>
    <row r="1047" spans="1:2">
      <c r="A1047" s="19">
        <f>Raw_Data!J1047</f>
        <v>1474</v>
      </c>
      <c r="B1047" s="19">
        <f>--(Raw_Data!B1047="Yes")</f>
        <v>0</v>
      </c>
    </row>
    <row r="1048" spans="1:2">
      <c r="A1048" s="19">
        <f>Raw_Data!J1048</f>
        <v>1475</v>
      </c>
      <c r="B1048" s="19">
        <f>--(Raw_Data!B1048="Yes")</f>
        <v>0</v>
      </c>
    </row>
    <row r="1049" spans="1:2">
      <c r="A1049" s="19">
        <f>Raw_Data!J1049</f>
        <v>1477</v>
      </c>
      <c r="B1049" s="19">
        <f>--(Raw_Data!B1049="Yes")</f>
        <v>0</v>
      </c>
    </row>
    <row r="1050" spans="1:2">
      <c r="A1050" s="19">
        <f>Raw_Data!J1050</f>
        <v>1478</v>
      </c>
      <c r="B1050" s="19">
        <f>--(Raw_Data!B1050="Yes")</f>
        <v>0</v>
      </c>
    </row>
    <row r="1051" spans="1:2">
      <c r="A1051" s="19">
        <f>Raw_Data!J1051</f>
        <v>1479</v>
      </c>
      <c r="B1051" s="19">
        <f>--(Raw_Data!B1051="Yes")</f>
        <v>0</v>
      </c>
    </row>
    <row r="1052" spans="1:2">
      <c r="A1052" s="19">
        <f>Raw_Data!J1052</f>
        <v>1480</v>
      </c>
      <c r="B1052" s="19">
        <f>--(Raw_Data!B1052="Yes")</f>
        <v>0</v>
      </c>
    </row>
    <row r="1053" spans="1:2">
      <c r="A1053" s="19">
        <f>Raw_Data!J1053</f>
        <v>1481</v>
      </c>
      <c r="B1053" s="19">
        <f>--(Raw_Data!B1053="Yes")</f>
        <v>0</v>
      </c>
    </row>
    <row r="1054" spans="1:2">
      <c r="A1054" s="19">
        <f>Raw_Data!J1054</f>
        <v>1482</v>
      </c>
      <c r="B1054" s="19">
        <f>--(Raw_Data!B1054="Yes")</f>
        <v>0</v>
      </c>
    </row>
    <row r="1055" spans="1:2">
      <c r="A1055" s="19">
        <f>Raw_Data!J1055</f>
        <v>1483</v>
      </c>
      <c r="B1055" s="19">
        <f>--(Raw_Data!B1055="Yes")</f>
        <v>0</v>
      </c>
    </row>
    <row r="1056" spans="1:2">
      <c r="A1056" s="19">
        <f>Raw_Data!J1056</f>
        <v>1484</v>
      </c>
      <c r="B1056" s="19">
        <f>--(Raw_Data!B1056="Yes")</f>
        <v>0</v>
      </c>
    </row>
    <row r="1057" spans="1:2">
      <c r="A1057" s="19">
        <f>Raw_Data!J1057</f>
        <v>1485</v>
      </c>
      <c r="B1057" s="19">
        <f>--(Raw_Data!B1057="Yes")</f>
        <v>0</v>
      </c>
    </row>
    <row r="1058" spans="1:2">
      <c r="A1058" s="19">
        <f>Raw_Data!J1058</f>
        <v>1486</v>
      </c>
      <c r="B1058" s="19">
        <f>--(Raw_Data!B1058="Yes")</f>
        <v>1</v>
      </c>
    </row>
    <row r="1059" spans="1:2">
      <c r="A1059" s="19">
        <f>Raw_Data!J1059</f>
        <v>1487</v>
      </c>
      <c r="B1059" s="19">
        <f>--(Raw_Data!B1059="Yes")</f>
        <v>1</v>
      </c>
    </row>
    <row r="1060" spans="1:2">
      <c r="A1060" s="19">
        <f>Raw_Data!J1060</f>
        <v>1489</v>
      </c>
      <c r="B1060" s="19">
        <f>--(Raw_Data!B1060="Yes")</f>
        <v>1</v>
      </c>
    </row>
    <row r="1061" spans="1:2">
      <c r="A1061" s="19">
        <f>Raw_Data!J1061</f>
        <v>1492</v>
      </c>
      <c r="B1061" s="19">
        <f>--(Raw_Data!B1061="Yes")</f>
        <v>0</v>
      </c>
    </row>
    <row r="1062" spans="1:2">
      <c r="A1062" s="19">
        <f>Raw_Data!J1062</f>
        <v>1494</v>
      </c>
      <c r="B1062" s="19">
        <f>--(Raw_Data!B1062="Yes")</f>
        <v>1</v>
      </c>
    </row>
    <row r="1063" spans="1:2">
      <c r="A1063" s="19">
        <f>Raw_Data!J1063</f>
        <v>1495</v>
      </c>
      <c r="B1063" s="19">
        <f>--(Raw_Data!B1063="Yes")</f>
        <v>0</v>
      </c>
    </row>
    <row r="1064" spans="1:2">
      <c r="A1064" s="19">
        <f>Raw_Data!J1064</f>
        <v>1496</v>
      </c>
      <c r="B1064" s="19">
        <f>--(Raw_Data!B1064="Yes")</f>
        <v>0</v>
      </c>
    </row>
    <row r="1065" spans="1:2">
      <c r="A1065" s="19">
        <f>Raw_Data!J1065</f>
        <v>1497</v>
      </c>
      <c r="B1065" s="19">
        <f>--(Raw_Data!B1065="Yes")</f>
        <v>0</v>
      </c>
    </row>
    <row r="1066" spans="1:2">
      <c r="A1066" s="19">
        <f>Raw_Data!J1066</f>
        <v>1499</v>
      </c>
      <c r="B1066" s="19">
        <f>--(Raw_Data!B1066="Yes")</f>
        <v>0</v>
      </c>
    </row>
    <row r="1067" spans="1:2">
      <c r="A1067" s="19">
        <f>Raw_Data!J1067</f>
        <v>1501</v>
      </c>
      <c r="B1067" s="19">
        <f>--(Raw_Data!B1067="Yes")</f>
        <v>0</v>
      </c>
    </row>
    <row r="1068" spans="1:2">
      <c r="A1068" s="19">
        <f>Raw_Data!J1068</f>
        <v>1502</v>
      </c>
      <c r="B1068" s="19">
        <f>--(Raw_Data!B1068="Yes")</f>
        <v>0</v>
      </c>
    </row>
    <row r="1069" spans="1:2">
      <c r="A1069" s="19">
        <f>Raw_Data!J1069</f>
        <v>1503</v>
      </c>
      <c r="B1069" s="19">
        <f>--(Raw_Data!B1069="Yes")</f>
        <v>0</v>
      </c>
    </row>
    <row r="1070" spans="1:2">
      <c r="A1070" s="19">
        <f>Raw_Data!J1070</f>
        <v>1504</v>
      </c>
      <c r="B1070" s="19">
        <f>--(Raw_Data!B1070="Yes")</f>
        <v>1</v>
      </c>
    </row>
    <row r="1071" spans="1:2">
      <c r="A1071" s="19">
        <f>Raw_Data!J1071</f>
        <v>1506</v>
      </c>
      <c r="B1071" s="19">
        <f>--(Raw_Data!B1071="Yes")</f>
        <v>0</v>
      </c>
    </row>
    <row r="1072" spans="1:2">
      <c r="A1072" s="19">
        <f>Raw_Data!J1072</f>
        <v>1507</v>
      </c>
      <c r="B1072" s="19">
        <f>--(Raw_Data!B1072="Yes")</f>
        <v>0</v>
      </c>
    </row>
    <row r="1073" spans="1:2">
      <c r="A1073" s="19">
        <f>Raw_Data!J1073</f>
        <v>1509</v>
      </c>
      <c r="B1073" s="19">
        <f>--(Raw_Data!B1073="Yes")</f>
        <v>0</v>
      </c>
    </row>
    <row r="1074" spans="1:2">
      <c r="A1074" s="19">
        <f>Raw_Data!J1074</f>
        <v>1513</v>
      </c>
      <c r="B1074" s="19">
        <f>--(Raw_Data!B1074="Yes")</f>
        <v>0</v>
      </c>
    </row>
    <row r="1075" spans="1:2">
      <c r="A1075" s="19">
        <f>Raw_Data!J1075</f>
        <v>1514</v>
      </c>
      <c r="B1075" s="19">
        <f>--(Raw_Data!B1075="Yes")</f>
        <v>0</v>
      </c>
    </row>
    <row r="1076" spans="1:2">
      <c r="A1076" s="19">
        <f>Raw_Data!J1076</f>
        <v>1515</v>
      </c>
      <c r="B1076" s="19">
        <f>--(Raw_Data!B1076="Yes")</f>
        <v>0</v>
      </c>
    </row>
    <row r="1077" spans="1:2">
      <c r="A1077" s="19">
        <f>Raw_Data!J1077</f>
        <v>1516</v>
      </c>
      <c r="B1077" s="19">
        <f>--(Raw_Data!B1077="Yes")</f>
        <v>0</v>
      </c>
    </row>
    <row r="1078" spans="1:2">
      <c r="A1078" s="19">
        <f>Raw_Data!J1078</f>
        <v>1520</v>
      </c>
      <c r="B1078" s="19">
        <f>--(Raw_Data!B1078="Yes")</f>
        <v>0</v>
      </c>
    </row>
    <row r="1079" spans="1:2">
      <c r="A1079" s="19">
        <f>Raw_Data!J1079</f>
        <v>1522</v>
      </c>
      <c r="B1079" s="19">
        <f>--(Raw_Data!B1079="Yes")</f>
        <v>1</v>
      </c>
    </row>
    <row r="1080" spans="1:2">
      <c r="A1080" s="19">
        <f>Raw_Data!J1080</f>
        <v>1523</v>
      </c>
      <c r="B1080" s="19">
        <f>--(Raw_Data!B1080="Yes")</f>
        <v>0</v>
      </c>
    </row>
    <row r="1081" spans="1:2">
      <c r="A1081" s="19">
        <f>Raw_Data!J1081</f>
        <v>1525</v>
      </c>
      <c r="B1081" s="19">
        <f>--(Raw_Data!B1081="Yes")</f>
        <v>0</v>
      </c>
    </row>
    <row r="1082" spans="1:2">
      <c r="A1082" s="19">
        <f>Raw_Data!J1082</f>
        <v>1527</v>
      </c>
      <c r="B1082" s="19">
        <f>--(Raw_Data!B1082="Yes")</f>
        <v>0</v>
      </c>
    </row>
    <row r="1083" spans="1:2">
      <c r="A1083" s="19">
        <f>Raw_Data!J1083</f>
        <v>1529</v>
      </c>
      <c r="B1083" s="19">
        <f>--(Raw_Data!B1083="Yes")</f>
        <v>0</v>
      </c>
    </row>
    <row r="1084" spans="1:2">
      <c r="A1084" s="19">
        <f>Raw_Data!J1084</f>
        <v>1533</v>
      </c>
      <c r="B1084" s="19">
        <f>--(Raw_Data!B1084="Yes")</f>
        <v>0</v>
      </c>
    </row>
    <row r="1085" spans="1:2">
      <c r="A1085" s="19">
        <f>Raw_Data!J1085</f>
        <v>1534</v>
      </c>
      <c r="B1085" s="19">
        <f>--(Raw_Data!B1085="Yes")</f>
        <v>1</v>
      </c>
    </row>
    <row r="1086" spans="1:2">
      <c r="A1086" s="19">
        <f>Raw_Data!J1086</f>
        <v>1535</v>
      </c>
      <c r="B1086" s="19">
        <f>--(Raw_Data!B1086="Yes")</f>
        <v>0</v>
      </c>
    </row>
    <row r="1087" spans="1:2">
      <c r="A1087" s="19">
        <f>Raw_Data!J1087</f>
        <v>1537</v>
      </c>
      <c r="B1087" s="19">
        <f>--(Raw_Data!B1087="Yes")</f>
        <v>1</v>
      </c>
    </row>
    <row r="1088" spans="1:2">
      <c r="A1088" s="19">
        <f>Raw_Data!J1088</f>
        <v>1539</v>
      </c>
      <c r="B1088" s="19">
        <f>--(Raw_Data!B1088="Yes")</f>
        <v>0</v>
      </c>
    </row>
    <row r="1089" spans="1:2">
      <c r="A1089" s="19">
        <f>Raw_Data!J1089</f>
        <v>1541</v>
      </c>
      <c r="B1089" s="19">
        <f>--(Raw_Data!B1089="Yes")</f>
        <v>0</v>
      </c>
    </row>
    <row r="1090" spans="1:2">
      <c r="A1090" s="19">
        <f>Raw_Data!J1090</f>
        <v>1542</v>
      </c>
      <c r="B1090" s="19">
        <f>--(Raw_Data!B1090="Yes")</f>
        <v>0</v>
      </c>
    </row>
    <row r="1091" spans="1:2">
      <c r="A1091" s="19">
        <f>Raw_Data!J1091</f>
        <v>1543</v>
      </c>
      <c r="B1091" s="19">
        <f>--(Raw_Data!B1091="Yes")</f>
        <v>0</v>
      </c>
    </row>
    <row r="1092" spans="1:2">
      <c r="A1092" s="19">
        <f>Raw_Data!J1092</f>
        <v>1544</v>
      </c>
      <c r="B1092" s="19">
        <f>--(Raw_Data!B1092="Yes")</f>
        <v>0</v>
      </c>
    </row>
    <row r="1093" spans="1:2">
      <c r="A1093" s="19">
        <f>Raw_Data!J1093</f>
        <v>1545</v>
      </c>
      <c r="B1093" s="19">
        <f>--(Raw_Data!B1093="Yes")</f>
        <v>0</v>
      </c>
    </row>
    <row r="1094" spans="1:2">
      <c r="A1094" s="19">
        <f>Raw_Data!J1094</f>
        <v>1546</v>
      </c>
      <c r="B1094" s="19">
        <f>--(Raw_Data!B1094="Yes")</f>
        <v>0</v>
      </c>
    </row>
    <row r="1095" spans="1:2">
      <c r="A1095" s="19">
        <f>Raw_Data!J1095</f>
        <v>1547</v>
      </c>
      <c r="B1095" s="19">
        <f>--(Raw_Data!B1095="Yes")</f>
        <v>0</v>
      </c>
    </row>
    <row r="1096" spans="1:2">
      <c r="A1096" s="19">
        <f>Raw_Data!J1096</f>
        <v>1548</v>
      </c>
      <c r="B1096" s="19">
        <f>--(Raw_Data!B1096="Yes")</f>
        <v>0</v>
      </c>
    </row>
    <row r="1097" spans="1:2">
      <c r="A1097" s="19">
        <f>Raw_Data!J1097</f>
        <v>1549</v>
      </c>
      <c r="B1097" s="19">
        <f>--(Raw_Data!B1097="Yes")</f>
        <v>0</v>
      </c>
    </row>
    <row r="1098" spans="1:2">
      <c r="A1098" s="19">
        <f>Raw_Data!J1098</f>
        <v>1550</v>
      </c>
      <c r="B1098" s="19">
        <f>--(Raw_Data!B1098="Yes")</f>
        <v>0</v>
      </c>
    </row>
    <row r="1099" spans="1:2">
      <c r="A1099" s="19">
        <f>Raw_Data!J1099</f>
        <v>1551</v>
      </c>
      <c r="B1099" s="19">
        <f>--(Raw_Data!B1099="Yes")</f>
        <v>0</v>
      </c>
    </row>
    <row r="1100" spans="1:2">
      <c r="A1100" s="19">
        <f>Raw_Data!J1100</f>
        <v>1552</v>
      </c>
      <c r="B1100" s="19">
        <f>--(Raw_Data!B1100="Yes")</f>
        <v>0</v>
      </c>
    </row>
    <row r="1101" spans="1:2">
      <c r="A1101" s="19">
        <f>Raw_Data!J1101</f>
        <v>1553</v>
      </c>
      <c r="B1101" s="19">
        <f>--(Raw_Data!B1101="Yes")</f>
        <v>0</v>
      </c>
    </row>
    <row r="1102" spans="1:2">
      <c r="A1102" s="19">
        <f>Raw_Data!J1102</f>
        <v>1554</v>
      </c>
      <c r="B1102" s="19">
        <f>--(Raw_Data!B1102="Yes")</f>
        <v>0</v>
      </c>
    </row>
    <row r="1103" spans="1:2">
      <c r="A1103" s="19">
        <f>Raw_Data!J1103</f>
        <v>1555</v>
      </c>
      <c r="B1103" s="19">
        <f>--(Raw_Data!B1103="Yes")</f>
        <v>0</v>
      </c>
    </row>
    <row r="1104" spans="1:2">
      <c r="A1104" s="19">
        <f>Raw_Data!J1104</f>
        <v>1556</v>
      </c>
      <c r="B1104" s="19">
        <f>--(Raw_Data!B1104="Yes")</f>
        <v>0</v>
      </c>
    </row>
    <row r="1105" spans="1:2">
      <c r="A1105" s="19">
        <f>Raw_Data!J1105</f>
        <v>1557</v>
      </c>
      <c r="B1105" s="19">
        <f>--(Raw_Data!B1105="Yes")</f>
        <v>0</v>
      </c>
    </row>
    <row r="1106" spans="1:2">
      <c r="A1106" s="19">
        <f>Raw_Data!J1106</f>
        <v>1558</v>
      </c>
      <c r="B1106" s="19">
        <f>--(Raw_Data!B1106="Yes")</f>
        <v>0</v>
      </c>
    </row>
    <row r="1107" spans="1:2">
      <c r="A1107" s="19">
        <f>Raw_Data!J1107</f>
        <v>1560</v>
      </c>
      <c r="B1107" s="19">
        <f>--(Raw_Data!B1107="Yes")</f>
        <v>0</v>
      </c>
    </row>
    <row r="1108" spans="1:2">
      <c r="A1108" s="19">
        <f>Raw_Data!J1108</f>
        <v>1562</v>
      </c>
      <c r="B1108" s="19">
        <f>--(Raw_Data!B1108="Yes")</f>
        <v>1</v>
      </c>
    </row>
    <row r="1109" spans="1:2">
      <c r="A1109" s="19">
        <f>Raw_Data!J1109</f>
        <v>1563</v>
      </c>
      <c r="B1109" s="19">
        <f>--(Raw_Data!B1109="Yes")</f>
        <v>0</v>
      </c>
    </row>
    <row r="1110" spans="1:2">
      <c r="A1110" s="19">
        <f>Raw_Data!J1110</f>
        <v>1564</v>
      </c>
      <c r="B1110" s="19">
        <f>--(Raw_Data!B1110="Yes")</f>
        <v>0</v>
      </c>
    </row>
    <row r="1111" spans="1:2">
      <c r="A1111" s="19">
        <f>Raw_Data!J1111</f>
        <v>1568</v>
      </c>
      <c r="B1111" s="19">
        <f>--(Raw_Data!B1111="Yes")</f>
        <v>0</v>
      </c>
    </row>
    <row r="1112" spans="1:2">
      <c r="A1112" s="19">
        <f>Raw_Data!J1112</f>
        <v>1569</v>
      </c>
      <c r="B1112" s="19">
        <f>--(Raw_Data!B1112="Yes")</f>
        <v>1</v>
      </c>
    </row>
    <row r="1113" spans="1:2">
      <c r="A1113" s="19">
        <f>Raw_Data!J1113</f>
        <v>1572</v>
      </c>
      <c r="B1113" s="19">
        <f>--(Raw_Data!B1113="Yes")</f>
        <v>1</v>
      </c>
    </row>
    <row r="1114" spans="1:2">
      <c r="A1114" s="19">
        <f>Raw_Data!J1114</f>
        <v>1573</v>
      </c>
      <c r="B1114" s="19">
        <f>--(Raw_Data!B1114="Yes")</f>
        <v>1</v>
      </c>
    </row>
    <row r="1115" spans="1:2">
      <c r="A1115" s="19">
        <f>Raw_Data!J1115</f>
        <v>1574</v>
      </c>
      <c r="B1115" s="19">
        <f>--(Raw_Data!B1115="Yes")</f>
        <v>0</v>
      </c>
    </row>
    <row r="1116" spans="1:2">
      <c r="A1116" s="19">
        <f>Raw_Data!J1116</f>
        <v>1576</v>
      </c>
      <c r="B1116" s="19">
        <f>--(Raw_Data!B1116="Yes")</f>
        <v>0</v>
      </c>
    </row>
    <row r="1117" spans="1:2">
      <c r="A1117" s="19">
        <f>Raw_Data!J1117</f>
        <v>1577</v>
      </c>
      <c r="B1117" s="19">
        <f>--(Raw_Data!B1117="Yes")</f>
        <v>0</v>
      </c>
    </row>
    <row r="1118" spans="1:2">
      <c r="A1118" s="19">
        <f>Raw_Data!J1118</f>
        <v>1578</v>
      </c>
      <c r="B1118" s="19">
        <f>--(Raw_Data!B1118="Yes")</f>
        <v>0</v>
      </c>
    </row>
    <row r="1119" spans="1:2">
      <c r="A1119" s="19">
        <f>Raw_Data!J1119</f>
        <v>1580</v>
      </c>
      <c r="B1119" s="19">
        <f>--(Raw_Data!B1119="Yes")</f>
        <v>0</v>
      </c>
    </row>
    <row r="1120" spans="1:2">
      <c r="A1120" s="19">
        <f>Raw_Data!J1120</f>
        <v>1581</v>
      </c>
      <c r="B1120" s="19">
        <f>--(Raw_Data!B1120="Yes")</f>
        <v>0</v>
      </c>
    </row>
    <row r="1121" spans="1:2">
      <c r="A1121" s="19">
        <f>Raw_Data!J1121</f>
        <v>1582</v>
      </c>
      <c r="B1121" s="19">
        <f>--(Raw_Data!B1121="Yes")</f>
        <v>0</v>
      </c>
    </row>
    <row r="1122" spans="1:2">
      <c r="A1122" s="19">
        <f>Raw_Data!J1122</f>
        <v>1583</v>
      </c>
      <c r="B1122" s="19">
        <f>--(Raw_Data!B1122="Yes")</f>
        <v>0</v>
      </c>
    </row>
    <row r="1123" spans="1:2">
      <c r="A1123" s="19">
        <f>Raw_Data!J1123</f>
        <v>1585</v>
      </c>
      <c r="B1123" s="19">
        <f>--(Raw_Data!B1123="Yes")</f>
        <v>0</v>
      </c>
    </row>
    <row r="1124" spans="1:2">
      <c r="A1124" s="19">
        <f>Raw_Data!J1124</f>
        <v>1586</v>
      </c>
      <c r="B1124" s="19">
        <f>--(Raw_Data!B1124="Yes")</f>
        <v>0</v>
      </c>
    </row>
    <row r="1125" spans="1:2">
      <c r="A1125" s="19">
        <f>Raw_Data!J1125</f>
        <v>1587</v>
      </c>
      <c r="B1125" s="19">
        <f>--(Raw_Data!B1125="Yes")</f>
        <v>0</v>
      </c>
    </row>
    <row r="1126" spans="1:2">
      <c r="A1126" s="19">
        <f>Raw_Data!J1126</f>
        <v>1588</v>
      </c>
      <c r="B1126" s="19">
        <f>--(Raw_Data!B1126="Yes")</f>
        <v>0</v>
      </c>
    </row>
    <row r="1127" spans="1:2">
      <c r="A1127" s="19">
        <f>Raw_Data!J1127</f>
        <v>1590</v>
      </c>
      <c r="B1127" s="19">
        <f>--(Raw_Data!B1127="Yes")</f>
        <v>0</v>
      </c>
    </row>
    <row r="1128" spans="1:2">
      <c r="A1128" s="19">
        <f>Raw_Data!J1128</f>
        <v>1591</v>
      </c>
      <c r="B1128" s="19">
        <f>--(Raw_Data!B1128="Yes")</f>
        <v>0</v>
      </c>
    </row>
    <row r="1129" spans="1:2">
      <c r="A1129" s="19">
        <f>Raw_Data!J1129</f>
        <v>1592</v>
      </c>
      <c r="B1129" s="19">
        <f>--(Raw_Data!B1129="Yes")</f>
        <v>0</v>
      </c>
    </row>
    <row r="1130" spans="1:2">
      <c r="A1130" s="19">
        <f>Raw_Data!J1130</f>
        <v>1594</v>
      </c>
      <c r="B1130" s="19">
        <f>--(Raw_Data!B1130="Yes")</f>
        <v>0</v>
      </c>
    </row>
    <row r="1131" spans="1:2">
      <c r="A1131" s="19">
        <f>Raw_Data!J1131</f>
        <v>1595</v>
      </c>
      <c r="B1131" s="19">
        <f>--(Raw_Data!B1131="Yes")</f>
        <v>0</v>
      </c>
    </row>
    <row r="1132" spans="1:2">
      <c r="A1132" s="19">
        <f>Raw_Data!J1132</f>
        <v>1596</v>
      </c>
      <c r="B1132" s="19">
        <f>--(Raw_Data!B1132="Yes")</f>
        <v>0</v>
      </c>
    </row>
    <row r="1133" spans="1:2">
      <c r="A1133" s="19">
        <f>Raw_Data!J1133</f>
        <v>1597</v>
      </c>
      <c r="B1133" s="19">
        <f>--(Raw_Data!B1133="Yes")</f>
        <v>0</v>
      </c>
    </row>
    <row r="1134" spans="1:2">
      <c r="A1134" s="19">
        <f>Raw_Data!J1134</f>
        <v>1598</v>
      </c>
      <c r="B1134" s="19">
        <f>--(Raw_Data!B1134="Yes")</f>
        <v>0</v>
      </c>
    </row>
    <row r="1135" spans="1:2">
      <c r="A1135" s="19">
        <f>Raw_Data!J1135</f>
        <v>1599</v>
      </c>
      <c r="B1135" s="19">
        <f>--(Raw_Data!B1135="Yes")</f>
        <v>0</v>
      </c>
    </row>
    <row r="1136" spans="1:2">
      <c r="A1136" s="19">
        <f>Raw_Data!J1136</f>
        <v>1601</v>
      </c>
      <c r="B1136" s="19">
        <f>--(Raw_Data!B1136="Yes")</f>
        <v>0</v>
      </c>
    </row>
    <row r="1137" spans="1:2">
      <c r="A1137" s="19">
        <f>Raw_Data!J1137</f>
        <v>1602</v>
      </c>
      <c r="B1137" s="19">
        <f>--(Raw_Data!B1137="Yes")</f>
        <v>0</v>
      </c>
    </row>
    <row r="1138" spans="1:2">
      <c r="A1138" s="19">
        <f>Raw_Data!J1138</f>
        <v>1604</v>
      </c>
      <c r="B1138" s="19">
        <f>--(Raw_Data!B1138="Yes")</f>
        <v>1</v>
      </c>
    </row>
    <row r="1139" spans="1:2">
      <c r="A1139" s="19">
        <f>Raw_Data!J1139</f>
        <v>1605</v>
      </c>
      <c r="B1139" s="19">
        <f>--(Raw_Data!B1139="Yes")</f>
        <v>0</v>
      </c>
    </row>
    <row r="1140" spans="1:2">
      <c r="A1140" s="19">
        <f>Raw_Data!J1140</f>
        <v>1606</v>
      </c>
      <c r="B1140" s="19">
        <f>--(Raw_Data!B1140="Yes")</f>
        <v>0</v>
      </c>
    </row>
    <row r="1141" spans="1:2">
      <c r="A1141" s="19">
        <f>Raw_Data!J1141</f>
        <v>1607</v>
      </c>
      <c r="B1141" s="19">
        <f>--(Raw_Data!B1141="Yes")</f>
        <v>0</v>
      </c>
    </row>
    <row r="1142" spans="1:2">
      <c r="A1142" s="19">
        <f>Raw_Data!J1142</f>
        <v>1608</v>
      </c>
      <c r="B1142" s="19">
        <f>--(Raw_Data!B1142="Yes")</f>
        <v>0</v>
      </c>
    </row>
    <row r="1143" spans="1:2">
      <c r="A1143" s="19">
        <f>Raw_Data!J1143</f>
        <v>1609</v>
      </c>
      <c r="B1143" s="19">
        <f>--(Raw_Data!B1143="Yes")</f>
        <v>0</v>
      </c>
    </row>
    <row r="1144" spans="1:2">
      <c r="A1144" s="19">
        <f>Raw_Data!J1144</f>
        <v>1611</v>
      </c>
      <c r="B1144" s="19">
        <f>--(Raw_Data!B1144="Yes")</f>
        <v>0</v>
      </c>
    </row>
    <row r="1145" spans="1:2">
      <c r="A1145" s="19">
        <f>Raw_Data!J1145</f>
        <v>1612</v>
      </c>
      <c r="B1145" s="19">
        <f>--(Raw_Data!B1145="Yes")</f>
        <v>0</v>
      </c>
    </row>
    <row r="1146" spans="1:2">
      <c r="A1146" s="19">
        <f>Raw_Data!J1146</f>
        <v>1613</v>
      </c>
      <c r="B1146" s="19">
        <f>--(Raw_Data!B1146="Yes")</f>
        <v>0</v>
      </c>
    </row>
    <row r="1147" spans="1:2">
      <c r="A1147" s="19">
        <f>Raw_Data!J1147</f>
        <v>1614</v>
      </c>
      <c r="B1147" s="19">
        <f>--(Raw_Data!B1147="Yes")</f>
        <v>0</v>
      </c>
    </row>
    <row r="1148" spans="1:2">
      <c r="A1148" s="19">
        <f>Raw_Data!J1148</f>
        <v>1615</v>
      </c>
      <c r="B1148" s="19">
        <f>--(Raw_Data!B1148="Yes")</f>
        <v>0</v>
      </c>
    </row>
    <row r="1149" spans="1:2">
      <c r="A1149" s="19">
        <f>Raw_Data!J1149</f>
        <v>1617</v>
      </c>
      <c r="B1149" s="19">
        <f>--(Raw_Data!B1149="Yes")</f>
        <v>0</v>
      </c>
    </row>
    <row r="1150" spans="1:2">
      <c r="A1150" s="19">
        <f>Raw_Data!J1150</f>
        <v>1618</v>
      </c>
      <c r="B1150" s="19">
        <f>--(Raw_Data!B1150="Yes")</f>
        <v>0</v>
      </c>
    </row>
    <row r="1151" spans="1:2">
      <c r="A1151" s="19">
        <f>Raw_Data!J1151</f>
        <v>1619</v>
      </c>
      <c r="B1151" s="19">
        <f>--(Raw_Data!B1151="Yes")</f>
        <v>0</v>
      </c>
    </row>
    <row r="1152" spans="1:2">
      <c r="A1152" s="19">
        <f>Raw_Data!J1152</f>
        <v>1621</v>
      </c>
      <c r="B1152" s="19">
        <f>--(Raw_Data!B1152="Yes")</f>
        <v>0</v>
      </c>
    </row>
    <row r="1153" spans="1:2">
      <c r="A1153" s="19">
        <f>Raw_Data!J1153</f>
        <v>1622</v>
      </c>
      <c r="B1153" s="19">
        <f>--(Raw_Data!B1153="Yes")</f>
        <v>0</v>
      </c>
    </row>
    <row r="1154" spans="1:2">
      <c r="A1154" s="19">
        <f>Raw_Data!J1154</f>
        <v>1623</v>
      </c>
      <c r="B1154" s="19">
        <f>--(Raw_Data!B1154="Yes")</f>
        <v>0</v>
      </c>
    </row>
    <row r="1155" spans="1:2">
      <c r="A1155" s="19">
        <f>Raw_Data!J1155</f>
        <v>1624</v>
      </c>
      <c r="B1155" s="19">
        <f>--(Raw_Data!B1155="Yes")</f>
        <v>1</v>
      </c>
    </row>
    <row r="1156" spans="1:2">
      <c r="A1156" s="19">
        <f>Raw_Data!J1156</f>
        <v>1625</v>
      </c>
      <c r="B1156" s="19">
        <f>--(Raw_Data!B1156="Yes")</f>
        <v>0</v>
      </c>
    </row>
    <row r="1157" spans="1:2">
      <c r="A1157" s="19">
        <f>Raw_Data!J1157</f>
        <v>1627</v>
      </c>
      <c r="B1157" s="19">
        <f>--(Raw_Data!B1157="Yes")</f>
        <v>0</v>
      </c>
    </row>
    <row r="1158" spans="1:2">
      <c r="A1158" s="19">
        <f>Raw_Data!J1158</f>
        <v>1628</v>
      </c>
      <c r="B1158" s="19">
        <f>--(Raw_Data!B1158="Yes")</f>
        <v>0</v>
      </c>
    </row>
    <row r="1159" spans="1:2">
      <c r="A1159" s="19">
        <f>Raw_Data!J1159</f>
        <v>1630</v>
      </c>
      <c r="B1159" s="19">
        <f>--(Raw_Data!B1159="Yes")</f>
        <v>0</v>
      </c>
    </row>
    <row r="1160" spans="1:2">
      <c r="A1160" s="19">
        <f>Raw_Data!J1160</f>
        <v>1631</v>
      </c>
      <c r="B1160" s="19">
        <f>--(Raw_Data!B1160="Yes")</f>
        <v>0</v>
      </c>
    </row>
    <row r="1161" spans="1:2">
      <c r="A1161" s="19">
        <f>Raw_Data!J1161</f>
        <v>1633</v>
      </c>
      <c r="B1161" s="19">
        <f>--(Raw_Data!B1161="Yes")</f>
        <v>0</v>
      </c>
    </row>
    <row r="1162" spans="1:2">
      <c r="A1162" s="19">
        <f>Raw_Data!J1162</f>
        <v>1635</v>
      </c>
      <c r="B1162" s="19">
        <f>--(Raw_Data!B1162="Yes")</f>
        <v>0</v>
      </c>
    </row>
    <row r="1163" spans="1:2">
      <c r="A1163" s="19">
        <f>Raw_Data!J1163</f>
        <v>1638</v>
      </c>
      <c r="B1163" s="19">
        <f>--(Raw_Data!B1163="Yes")</f>
        <v>0</v>
      </c>
    </row>
    <row r="1164" spans="1:2">
      <c r="A1164" s="19">
        <f>Raw_Data!J1164</f>
        <v>1639</v>
      </c>
      <c r="B1164" s="19">
        <f>--(Raw_Data!B1164="Yes")</f>
        <v>1</v>
      </c>
    </row>
    <row r="1165" spans="1:2">
      <c r="A1165" s="19">
        <f>Raw_Data!J1165</f>
        <v>1640</v>
      </c>
      <c r="B1165" s="19">
        <f>--(Raw_Data!B1165="Yes")</f>
        <v>0</v>
      </c>
    </row>
    <row r="1166" spans="1:2">
      <c r="A1166" s="19">
        <f>Raw_Data!J1166</f>
        <v>1641</v>
      </c>
      <c r="B1166" s="19">
        <f>--(Raw_Data!B1166="Yes")</f>
        <v>0</v>
      </c>
    </row>
    <row r="1167" spans="1:2">
      <c r="A1167" s="19">
        <f>Raw_Data!J1167</f>
        <v>1642</v>
      </c>
      <c r="B1167" s="19">
        <f>--(Raw_Data!B1167="Yes")</f>
        <v>0</v>
      </c>
    </row>
    <row r="1168" spans="1:2">
      <c r="A1168" s="19">
        <f>Raw_Data!J1168</f>
        <v>1644</v>
      </c>
      <c r="B1168" s="19">
        <f>--(Raw_Data!B1168="Yes")</f>
        <v>0</v>
      </c>
    </row>
    <row r="1169" spans="1:2">
      <c r="A1169" s="19">
        <f>Raw_Data!J1169</f>
        <v>1645</v>
      </c>
      <c r="B1169" s="19">
        <f>--(Raw_Data!B1169="Yes")</f>
        <v>1</v>
      </c>
    </row>
    <row r="1170" spans="1:2">
      <c r="A1170" s="19">
        <f>Raw_Data!J1170</f>
        <v>1646</v>
      </c>
      <c r="B1170" s="19">
        <f>--(Raw_Data!B1170="Yes")</f>
        <v>0</v>
      </c>
    </row>
    <row r="1171" spans="1:2">
      <c r="A1171" s="19">
        <f>Raw_Data!J1171</f>
        <v>1647</v>
      </c>
      <c r="B1171" s="19">
        <f>--(Raw_Data!B1171="Yes")</f>
        <v>0</v>
      </c>
    </row>
    <row r="1172" spans="1:2">
      <c r="A1172" s="19">
        <f>Raw_Data!J1172</f>
        <v>1648</v>
      </c>
      <c r="B1172" s="19">
        <f>--(Raw_Data!B1172="Yes")</f>
        <v>0</v>
      </c>
    </row>
    <row r="1173" spans="1:2">
      <c r="A1173" s="19">
        <f>Raw_Data!J1173</f>
        <v>1649</v>
      </c>
      <c r="B1173" s="19">
        <f>--(Raw_Data!B1173="Yes")</f>
        <v>1</v>
      </c>
    </row>
    <row r="1174" spans="1:2">
      <c r="A1174" s="19">
        <f>Raw_Data!J1174</f>
        <v>1650</v>
      </c>
      <c r="B1174" s="19">
        <f>--(Raw_Data!B1174="Yes")</f>
        <v>0</v>
      </c>
    </row>
    <row r="1175" spans="1:2">
      <c r="A1175" s="19">
        <f>Raw_Data!J1175</f>
        <v>1651</v>
      </c>
      <c r="B1175" s="19">
        <f>--(Raw_Data!B1175="Yes")</f>
        <v>0</v>
      </c>
    </row>
    <row r="1176" spans="1:2">
      <c r="A1176" s="19">
        <f>Raw_Data!J1176</f>
        <v>1653</v>
      </c>
      <c r="B1176" s="19">
        <f>--(Raw_Data!B1176="Yes")</f>
        <v>0</v>
      </c>
    </row>
    <row r="1177" spans="1:2">
      <c r="A1177" s="19">
        <f>Raw_Data!J1177</f>
        <v>1654</v>
      </c>
      <c r="B1177" s="19">
        <f>--(Raw_Data!B1177="Yes")</f>
        <v>0</v>
      </c>
    </row>
    <row r="1178" spans="1:2">
      <c r="A1178" s="19">
        <f>Raw_Data!J1178</f>
        <v>1655</v>
      </c>
      <c r="B1178" s="19">
        <f>--(Raw_Data!B1178="Yes")</f>
        <v>0</v>
      </c>
    </row>
    <row r="1179" spans="1:2">
      <c r="A1179" s="19">
        <f>Raw_Data!J1179</f>
        <v>1656</v>
      </c>
      <c r="B1179" s="19">
        <f>--(Raw_Data!B1179="Yes")</f>
        <v>0</v>
      </c>
    </row>
    <row r="1180" spans="1:2">
      <c r="A1180" s="19">
        <f>Raw_Data!J1180</f>
        <v>1657</v>
      </c>
      <c r="B1180" s="19">
        <f>--(Raw_Data!B1180="Yes")</f>
        <v>0</v>
      </c>
    </row>
    <row r="1181" spans="1:2">
      <c r="A1181" s="19">
        <f>Raw_Data!J1181</f>
        <v>1658</v>
      </c>
      <c r="B1181" s="19">
        <f>--(Raw_Data!B1181="Yes")</f>
        <v>0</v>
      </c>
    </row>
    <row r="1182" spans="1:2">
      <c r="A1182" s="19">
        <f>Raw_Data!J1182</f>
        <v>1659</v>
      </c>
      <c r="B1182" s="19">
        <f>--(Raw_Data!B1182="Yes")</f>
        <v>0</v>
      </c>
    </row>
    <row r="1183" spans="1:2">
      <c r="A1183" s="19">
        <f>Raw_Data!J1183</f>
        <v>1661</v>
      </c>
      <c r="B1183" s="19">
        <f>--(Raw_Data!B1183="Yes")</f>
        <v>0</v>
      </c>
    </row>
    <row r="1184" spans="1:2">
      <c r="A1184" s="19">
        <f>Raw_Data!J1184</f>
        <v>1662</v>
      </c>
      <c r="B1184" s="19">
        <f>--(Raw_Data!B1184="Yes")</f>
        <v>0</v>
      </c>
    </row>
    <row r="1185" spans="1:2">
      <c r="A1185" s="19">
        <f>Raw_Data!J1185</f>
        <v>1664</v>
      </c>
      <c r="B1185" s="19">
        <f>--(Raw_Data!B1185="Yes")</f>
        <v>0</v>
      </c>
    </row>
    <row r="1186" spans="1:2">
      <c r="A1186" s="19">
        <f>Raw_Data!J1186</f>
        <v>1665</v>
      </c>
      <c r="B1186" s="19">
        <f>--(Raw_Data!B1186="Yes")</f>
        <v>0</v>
      </c>
    </row>
    <row r="1187" spans="1:2">
      <c r="A1187" s="19">
        <f>Raw_Data!J1187</f>
        <v>1666</v>
      </c>
      <c r="B1187" s="19">
        <f>--(Raw_Data!B1187="Yes")</f>
        <v>0</v>
      </c>
    </row>
    <row r="1188" spans="1:2">
      <c r="A1188" s="19">
        <f>Raw_Data!J1188</f>
        <v>1667</v>
      </c>
      <c r="B1188" s="19">
        <f>--(Raw_Data!B1188="Yes")</f>
        <v>1</v>
      </c>
    </row>
    <row r="1189" spans="1:2">
      <c r="A1189" s="19">
        <f>Raw_Data!J1189</f>
        <v>1668</v>
      </c>
      <c r="B1189" s="19">
        <f>--(Raw_Data!B1189="Yes")</f>
        <v>0</v>
      </c>
    </row>
    <row r="1190" spans="1:2">
      <c r="A1190" s="19">
        <f>Raw_Data!J1190</f>
        <v>1669</v>
      </c>
      <c r="B1190" s="19">
        <f>--(Raw_Data!B1190="Yes")</f>
        <v>0</v>
      </c>
    </row>
    <row r="1191" spans="1:2">
      <c r="A1191" s="19">
        <f>Raw_Data!J1191</f>
        <v>1670</v>
      </c>
      <c r="B1191" s="19">
        <f>--(Raw_Data!B1191="Yes")</f>
        <v>0</v>
      </c>
    </row>
    <row r="1192" spans="1:2">
      <c r="A1192" s="19">
        <f>Raw_Data!J1192</f>
        <v>1671</v>
      </c>
      <c r="B1192" s="19">
        <f>--(Raw_Data!B1192="Yes")</f>
        <v>0</v>
      </c>
    </row>
    <row r="1193" spans="1:2">
      <c r="A1193" s="19">
        <f>Raw_Data!J1193</f>
        <v>1673</v>
      </c>
      <c r="B1193" s="19">
        <f>--(Raw_Data!B1193="Yes")</f>
        <v>0</v>
      </c>
    </row>
    <row r="1194" spans="1:2">
      <c r="A1194" s="19">
        <f>Raw_Data!J1194</f>
        <v>1674</v>
      </c>
      <c r="B1194" s="19">
        <f>--(Raw_Data!B1194="Yes")</f>
        <v>0</v>
      </c>
    </row>
    <row r="1195" spans="1:2">
      <c r="A1195" s="19">
        <f>Raw_Data!J1195</f>
        <v>1675</v>
      </c>
      <c r="B1195" s="19">
        <f>--(Raw_Data!B1195="Yes")</f>
        <v>0</v>
      </c>
    </row>
    <row r="1196" spans="1:2">
      <c r="A1196" s="19">
        <f>Raw_Data!J1196</f>
        <v>1676</v>
      </c>
      <c r="B1196" s="19">
        <f>--(Raw_Data!B1196="Yes")</f>
        <v>0</v>
      </c>
    </row>
    <row r="1197" spans="1:2">
      <c r="A1197" s="19">
        <f>Raw_Data!J1197</f>
        <v>1677</v>
      </c>
      <c r="B1197" s="19">
        <f>--(Raw_Data!B1197="Yes")</f>
        <v>0</v>
      </c>
    </row>
    <row r="1198" spans="1:2">
      <c r="A1198" s="19">
        <f>Raw_Data!J1198</f>
        <v>1678</v>
      </c>
      <c r="B1198" s="19">
        <f>--(Raw_Data!B1198="Yes")</f>
        <v>0</v>
      </c>
    </row>
    <row r="1199" spans="1:2">
      <c r="A1199" s="19">
        <f>Raw_Data!J1199</f>
        <v>1680</v>
      </c>
      <c r="B1199" s="19">
        <f>--(Raw_Data!B1199="Yes")</f>
        <v>0</v>
      </c>
    </row>
    <row r="1200" spans="1:2">
      <c r="A1200" s="19">
        <f>Raw_Data!J1200</f>
        <v>1681</v>
      </c>
      <c r="B1200" s="19">
        <f>--(Raw_Data!B1200="Yes")</f>
        <v>0</v>
      </c>
    </row>
    <row r="1201" spans="1:2">
      <c r="A1201" s="19">
        <f>Raw_Data!J1201</f>
        <v>1682</v>
      </c>
      <c r="B1201" s="19">
        <f>--(Raw_Data!B1201="Yes")</f>
        <v>0</v>
      </c>
    </row>
    <row r="1202" spans="1:2">
      <c r="A1202" s="19">
        <f>Raw_Data!J1202</f>
        <v>1683</v>
      </c>
      <c r="B1202" s="19">
        <f>--(Raw_Data!B1202="Yes")</f>
        <v>0</v>
      </c>
    </row>
    <row r="1203" spans="1:2">
      <c r="A1203" s="19">
        <f>Raw_Data!J1203</f>
        <v>1684</v>
      </c>
      <c r="B1203" s="19">
        <f>--(Raw_Data!B1203="Yes")</f>
        <v>1</v>
      </c>
    </row>
    <row r="1204" spans="1:2">
      <c r="A1204" s="19">
        <f>Raw_Data!J1204</f>
        <v>1687</v>
      </c>
      <c r="B1204" s="19">
        <f>--(Raw_Data!B1204="Yes")</f>
        <v>0</v>
      </c>
    </row>
    <row r="1205" spans="1:2">
      <c r="A1205" s="19">
        <f>Raw_Data!J1205</f>
        <v>1689</v>
      </c>
      <c r="B1205" s="19">
        <f>--(Raw_Data!B1205="Yes")</f>
        <v>0</v>
      </c>
    </row>
    <row r="1206" spans="1:2">
      <c r="A1206" s="19">
        <f>Raw_Data!J1206</f>
        <v>1691</v>
      </c>
      <c r="B1206" s="19">
        <f>--(Raw_Data!B1206="Yes")</f>
        <v>1</v>
      </c>
    </row>
    <row r="1207" spans="1:2">
      <c r="A1207" s="19">
        <f>Raw_Data!J1207</f>
        <v>1692</v>
      </c>
      <c r="B1207" s="19">
        <f>--(Raw_Data!B1207="Yes")</f>
        <v>1</v>
      </c>
    </row>
    <row r="1208" spans="1:2">
      <c r="A1208" s="19">
        <f>Raw_Data!J1208</f>
        <v>1693</v>
      </c>
      <c r="B1208" s="19">
        <f>--(Raw_Data!B1208="Yes")</f>
        <v>0</v>
      </c>
    </row>
    <row r="1209" spans="1:2">
      <c r="A1209" s="19">
        <f>Raw_Data!J1209</f>
        <v>1694</v>
      </c>
      <c r="B1209" s="19">
        <f>--(Raw_Data!B1209="Yes")</f>
        <v>0</v>
      </c>
    </row>
    <row r="1210" spans="1:2">
      <c r="A1210" s="19">
        <f>Raw_Data!J1210</f>
        <v>1696</v>
      </c>
      <c r="B1210" s="19">
        <f>--(Raw_Data!B1210="Yes")</f>
        <v>0</v>
      </c>
    </row>
    <row r="1211" spans="1:2">
      <c r="A1211" s="19">
        <f>Raw_Data!J1211</f>
        <v>1697</v>
      </c>
      <c r="B1211" s="19">
        <f>--(Raw_Data!B1211="Yes")</f>
        <v>0</v>
      </c>
    </row>
    <row r="1212" spans="1:2">
      <c r="A1212" s="19">
        <f>Raw_Data!J1212</f>
        <v>1698</v>
      </c>
      <c r="B1212" s="19">
        <f>--(Raw_Data!B1212="Yes")</f>
        <v>0</v>
      </c>
    </row>
    <row r="1213" spans="1:2">
      <c r="A1213" s="19">
        <f>Raw_Data!J1213</f>
        <v>1700</v>
      </c>
      <c r="B1213" s="19">
        <f>--(Raw_Data!B1213="Yes")</f>
        <v>0</v>
      </c>
    </row>
    <row r="1214" spans="1:2">
      <c r="A1214" s="19">
        <f>Raw_Data!J1214</f>
        <v>1701</v>
      </c>
      <c r="B1214" s="19">
        <f>--(Raw_Data!B1214="Yes")</f>
        <v>0</v>
      </c>
    </row>
    <row r="1215" spans="1:2">
      <c r="A1215" s="19">
        <f>Raw_Data!J1215</f>
        <v>1702</v>
      </c>
      <c r="B1215" s="19">
        <f>--(Raw_Data!B1215="Yes")</f>
        <v>1</v>
      </c>
    </row>
    <row r="1216" spans="1:2">
      <c r="A1216" s="19">
        <f>Raw_Data!J1216</f>
        <v>1703</v>
      </c>
      <c r="B1216" s="19">
        <f>--(Raw_Data!B1216="Yes")</f>
        <v>0</v>
      </c>
    </row>
    <row r="1217" spans="1:2">
      <c r="A1217" s="19">
        <f>Raw_Data!J1217</f>
        <v>1704</v>
      </c>
      <c r="B1217" s="19">
        <f>--(Raw_Data!B1217="Yes")</f>
        <v>0</v>
      </c>
    </row>
    <row r="1218" spans="1:2">
      <c r="A1218" s="19">
        <f>Raw_Data!J1218</f>
        <v>1706</v>
      </c>
      <c r="B1218" s="19">
        <f>--(Raw_Data!B1218="Yes")</f>
        <v>0</v>
      </c>
    </row>
    <row r="1219" spans="1:2">
      <c r="A1219" s="19">
        <f>Raw_Data!J1219</f>
        <v>1707</v>
      </c>
      <c r="B1219" s="19">
        <f>--(Raw_Data!B1219="Yes")</f>
        <v>0</v>
      </c>
    </row>
    <row r="1220" spans="1:2">
      <c r="A1220" s="19">
        <f>Raw_Data!J1220</f>
        <v>1708</v>
      </c>
      <c r="B1220" s="19">
        <f>--(Raw_Data!B1220="Yes")</f>
        <v>0</v>
      </c>
    </row>
    <row r="1221" spans="1:2">
      <c r="A1221" s="19">
        <f>Raw_Data!J1221</f>
        <v>1709</v>
      </c>
      <c r="B1221" s="19">
        <f>--(Raw_Data!B1221="Yes")</f>
        <v>0</v>
      </c>
    </row>
    <row r="1222" spans="1:2">
      <c r="A1222" s="19">
        <f>Raw_Data!J1222</f>
        <v>1710</v>
      </c>
      <c r="B1222" s="19">
        <f>--(Raw_Data!B1222="Yes")</f>
        <v>0</v>
      </c>
    </row>
    <row r="1223" spans="1:2">
      <c r="A1223" s="19">
        <f>Raw_Data!J1223</f>
        <v>1712</v>
      </c>
      <c r="B1223" s="19">
        <f>--(Raw_Data!B1223="Yes")</f>
        <v>0</v>
      </c>
    </row>
    <row r="1224" spans="1:2">
      <c r="A1224" s="19">
        <f>Raw_Data!J1224</f>
        <v>1714</v>
      </c>
      <c r="B1224" s="19">
        <f>--(Raw_Data!B1224="Yes")</f>
        <v>1</v>
      </c>
    </row>
    <row r="1225" spans="1:2">
      <c r="A1225" s="19">
        <f>Raw_Data!J1225</f>
        <v>1716</v>
      </c>
      <c r="B1225" s="19">
        <f>--(Raw_Data!B1225="Yes")</f>
        <v>1</v>
      </c>
    </row>
    <row r="1226" spans="1:2">
      <c r="A1226" s="19">
        <f>Raw_Data!J1226</f>
        <v>1718</v>
      </c>
      <c r="B1226" s="19">
        <f>--(Raw_Data!B1226="Yes")</f>
        <v>0</v>
      </c>
    </row>
    <row r="1227" spans="1:2">
      <c r="A1227" s="19">
        <f>Raw_Data!J1227</f>
        <v>1719</v>
      </c>
      <c r="B1227" s="19">
        <f>--(Raw_Data!B1227="Yes")</f>
        <v>0</v>
      </c>
    </row>
    <row r="1228" spans="1:2">
      <c r="A1228" s="19">
        <f>Raw_Data!J1228</f>
        <v>1720</v>
      </c>
      <c r="B1228" s="19">
        <f>--(Raw_Data!B1228="Yes")</f>
        <v>0</v>
      </c>
    </row>
    <row r="1229" spans="1:2">
      <c r="A1229" s="19">
        <f>Raw_Data!J1229</f>
        <v>1721</v>
      </c>
      <c r="B1229" s="19">
        <f>--(Raw_Data!B1229="Yes")</f>
        <v>0</v>
      </c>
    </row>
    <row r="1230" spans="1:2">
      <c r="A1230" s="19">
        <f>Raw_Data!J1230</f>
        <v>1722</v>
      </c>
      <c r="B1230" s="19">
        <f>--(Raw_Data!B1230="Yes")</f>
        <v>0</v>
      </c>
    </row>
    <row r="1231" spans="1:2">
      <c r="A1231" s="19">
        <f>Raw_Data!J1231</f>
        <v>1724</v>
      </c>
      <c r="B1231" s="19">
        <f>--(Raw_Data!B1231="Yes")</f>
        <v>0</v>
      </c>
    </row>
    <row r="1232" spans="1:2">
      <c r="A1232" s="19">
        <f>Raw_Data!J1232</f>
        <v>1725</v>
      </c>
      <c r="B1232" s="19">
        <f>--(Raw_Data!B1232="Yes")</f>
        <v>0</v>
      </c>
    </row>
    <row r="1233" spans="1:2">
      <c r="A1233" s="19">
        <f>Raw_Data!J1233</f>
        <v>1727</v>
      </c>
      <c r="B1233" s="19">
        <f>--(Raw_Data!B1233="Yes")</f>
        <v>0</v>
      </c>
    </row>
    <row r="1234" spans="1:2">
      <c r="A1234" s="19">
        <f>Raw_Data!J1234</f>
        <v>1728</v>
      </c>
      <c r="B1234" s="19">
        <f>--(Raw_Data!B1234="Yes")</f>
        <v>0</v>
      </c>
    </row>
    <row r="1235" spans="1:2">
      <c r="A1235" s="19">
        <f>Raw_Data!J1235</f>
        <v>1729</v>
      </c>
      <c r="B1235" s="19">
        <f>--(Raw_Data!B1235="Yes")</f>
        <v>0</v>
      </c>
    </row>
    <row r="1236" spans="1:2">
      <c r="A1236" s="19">
        <f>Raw_Data!J1236</f>
        <v>1731</v>
      </c>
      <c r="B1236" s="19">
        <f>--(Raw_Data!B1236="Yes")</f>
        <v>0</v>
      </c>
    </row>
    <row r="1237" spans="1:2">
      <c r="A1237" s="19">
        <f>Raw_Data!J1237</f>
        <v>1732</v>
      </c>
      <c r="B1237" s="19">
        <f>--(Raw_Data!B1237="Yes")</f>
        <v>0</v>
      </c>
    </row>
    <row r="1238" spans="1:2">
      <c r="A1238" s="19">
        <f>Raw_Data!J1238</f>
        <v>1733</v>
      </c>
      <c r="B1238" s="19">
        <f>--(Raw_Data!B1238="Yes")</f>
        <v>1</v>
      </c>
    </row>
    <row r="1239" spans="1:2">
      <c r="A1239" s="19">
        <f>Raw_Data!J1239</f>
        <v>1734</v>
      </c>
      <c r="B1239" s="19">
        <f>--(Raw_Data!B1239="Yes")</f>
        <v>1</v>
      </c>
    </row>
    <row r="1240" spans="1:2">
      <c r="A1240" s="19">
        <f>Raw_Data!J1240</f>
        <v>1735</v>
      </c>
      <c r="B1240" s="19">
        <f>--(Raw_Data!B1240="Yes")</f>
        <v>0</v>
      </c>
    </row>
    <row r="1241" spans="1:2">
      <c r="A1241" s="19">
        <f>Raw_Data!J1241</f>
        <v>1736</v>
      </c>
      <c r="B1241" s="19">
        <f>--(Raw_Data!B1241="Yes")</f>
        <v>0</v>
      </c>
    </row>
    <row r="1242" spans="1:2">
      <c r="A1242" s="19">
        <f>Raw_Data!J1242</f>
        <v>1737</v>
      </c>
      <c r="B1242" s="19">
        <f>--(Raw_Data!B1242="Yes")</f>
        <v>0</v>
      </c>
    </row>
    <row r="1243" spans="1:2">
      <c r="A1243" s="19">
        <f>Raw_Data!J1243</f>
        <v>1739</v>
      </c>
      <c r="B1243" s="19">
        <f>--(Raw_Data!B1243="Yes")</f>
        <v>0</v>
      </c>
    </row>
    <row r="1244" spans="1:2">
      <c r="A1244" s="19">
        <f>Raw_Data!J1244</f>
        <v>1740</v>
      </c>
      <c r="B1244" s="19">
        <f>--(Raw_Data!B1244="Yes")</f>
        <v>0</v>
      </c>
    </row>
    <row r="1245" spans="1:2">
      <c r="A1245" s="19">
        <f>Raw_Data!J1245</f>
        <v>1744</v>
      </c>
      <c r="B1245" s="19">
        <f>--(Raw_Data!B1245="Yes")</f>
        <v>0</v>
      </c>
    </row>
    <row r="1246" spans="1:2">
      <c r="A1246" s="19">
        <f>Raw_Data!J1246</f>
        <v>1745</v>
      </c>
      <c r="B1246" s="19">
        <f>--(Raw_Data!B1246="Yes")</f>
        <v>0</v>
      </c>
    </row>
    <row r="1247" spans="1:2">
      <c r="A1247" s="19">
        <f>Raw_Data!J1247</f>
        <v>1746</v>
      </c>
      <c r="B1247" s="19">
        <f>--(Raw_Data!B1247="Yes")</f>
        <v>0</v>
      </c>
    </row>
    <row r="1248" spans="1:2">
      <c r="A1248" s="19">
        <f>Raw_Data!J1248</f>
        <v>1747</v>
      </c>
      <c r="B1248" s="19">
        <f>--(Raw_Data!B1248="Yes")</f>
        <v>1</v>
      </c>
    </row>
    <row r="1249" spans="1:2">
      <c r="A1249" s="19">
        <f>Raw_Data!J1249</f>
        <v>1749</v>
      </c>
      <c r="B1249" s="19">
        <f>--(Raw_Data!B1249="Yes")</f>
        <v>0</v>
      </c>
    </row>
    <row r="1250" spans="1:2">
      <c r="A1250" s="19">
        <f>Raw_Data!J1250</f>
        <v>1751</v>
      </c>
      <c r="B1250" s="19">
        <f>--(Raw_Data!B1250="Yes")</f>
        <v>0</v>
      </c>
    </row>
    <row r="1251" spans="1:2">
      <c r="A1251" s="19">
        <f>Raw_Data!J1251</f>
        <v>1752</v>
      </c>
      <c r="B1251" s="19">
        <f>--(Raw_Data!B1251="Yes")</f>
        <v>1</v>
      </c>
    </row>
    <row r="1252" spans="1:2">
      <c r="A1252" s="19">
        <f>Raw_Data!J1252</f>
        <v>1753</v>
      </c>
      <c r="B1252" s="19">
        <f>--(Raw_Data!B1252="Yes")</f>
        <v>0</v>
      </c>
    </row>
    <row r="1253" spans="1:2">
      <c r="A1253" s="19">
        <f>Raw_Data!J1253</f>
        <v>1754</v>
      </c>
      <c r="B1253" s="19">
        <f>--(Raw_Data!B1253="Yes")</f>
        <v>0</v>
      </c>
    </row>
    <row r="1254" spans="1:2">
      <c r="A1254" s="19">
        <f>Raw_Data!J1254</f>
        <v>1755</v>
      </c>
      <c r="B1254" s="19">
        <f>--(Raw_Data!B1254="Yes")</f>
        <v>0</v>
      </c>
    </row>
    <row r="1255" spans="1:2">
      <c r="A1255" s="19">
        <f>Raw_Data!J1255</f>
        <v>1756</v>
      </c>
      <c r="B1255" s="19">
        <f>--(Raw_Data!B1255="Yes")</f>
        <v>0</v>
      </c>
    </row>
    <row r="1256" spans="1:2">
      <c r="A1256" s="19">
        <f>Raw_Data!J1256</f>
        <v>1757</v>
      </c>
      <c r="B1256" s="19">
        <f>--(Raw_Data!B1256="Yes")</f>
        <v>0</v>
      </c>
    </row>
    <row r="1257" spans="1:2">
      <c r="A1257" s="19">
        <f>Raw_Data!J1257</f>
        <v>1758</v>
      </c>
      <c r="B1257" s="19">
        <f>--(Raw_Data!B1257="Yes")</f>
        <v>1</v>
      </c>
    </row>
    <row r="1258" spans="1:2">
      <c r="A1258" s="19">
        <f>Raw_Data!J1258</f>
        <v>1760</v>
      </c>
      <c r="B1258" s="19">
        <f>--(Raw_Data!B1258="Yes")</f>
        <v>0</v>
      </c>
    </row>
    <row r="1259" spans="1:2">
      <c r="A1259" s="19">
        <f>Raw_Data!J1259</f>
        <v>1761</v>
      </c>
      <c r="B1259" s="19">
        <f>--(Raw_Data!B1259="Yes")</f>
        <v>1</v>
      </c>
    </row>
    <row r="1260" spans="1:2">
      <c r="A1260" s="19">
        <f>Raw_Data!J1260</f>
        <v>1762</v>
      </c>
      <c r="B1260" s="19">
        <f>--(Raw_Data!B1260="Yes")</f>
        <v>0</v>
      </c>
    </row>
    <row r="1261" spans="1:2">
      <c r="A1261" s="19">
        <f>Raw_Data!J1261</f>
        <v>1763</v>
      </c>
      <c r="B1261" s="19">
        <f>--(Raw_Data!B1261="Yes")</f>
        <v>0</v>
      </c>
    </row>
    <row r="1262" spans="1:2">
      <c r="A1262" s="19">
        <f>Raw_Data!J1262</f>
        <v>1764</v>
      </c>
      <c r="B1262" s="19">
        <f>--(Raw_Data!B1262="Yes")</f>
        <v>0</v>
      </c>
    </row>
    <row r="1263" spans="1:2">
      <c r="A1263" s="19">
        <f>Raw_Data!J1263</f>
        <v>1766</v>
      </c>
      <c r="B1263" s="19">
        <f>--(Raw_Data!B1263="Yes")</f>
        <v>0</v>
      </c>
    </row>
    <row r="1264" spans="1:2">
      <c r="A1264" s="19">
        <f>Raw_Data!J1264</f>
        <v>1767</v>
      </c>
      <c r="B1264" s="19">
        <f>--(Raw_Data!B1264="Yes")</f>
        <v>1</v>
      </c>
    </row>
    <row r="1265" spans="1:2">
      <c r="A1265" s="19">
        <f>Raw_Data!J1265</f>
        <v>1768</v>
      </c>
      <c r="B1265" s="19">
        <f>--(Raw_Data!B1265="Yes")</f>
        <v>0</v>
      </c>
    </row>
    <row r="1266" spans="1:2">
      <c r="A1266" s="19">
        <f>Raw_Data!J1266</f>
        <v>1770</v>
      </c>
      <c r="B1266" s="19">
        <f>--(Raw_Data!B1266="Yes")</f>
        <v>0</v>
      </c>
    </row>
    <row r="1267" spans="1:2">
      <c r="A1267" s="19">
        <f>Raw_Data!J1267</f>
        <v>1771</v>
      </c>
      <c r="B1267" s="19">
        <f>--(Raw_Data!B1267="Yes")</f>
        <v>0</v>
      </c>
    </row>
    <row r="1268" spans="1:2">
      <c r="A1268" s="19">
        <f>Raw_Data!J1268</f>
        <v>1772</v>
      </c>
      <c r="B1268" s="19">
        <f>--(Raw_Data!B1268="Yes")</f>
        <v>0</v>
      </c>
    </row>
    <row r="1269" spans="1:2">
      <c r="A1269" s="19">
        <f>Raw_Data!J1269</f>
        <v>1774</v>
      </c>
      <c r="B1269" s="19">
        <f>--(Raw_Data!B1269="Yes")</f>
        <v>0</v>
      </c>
    </row>
    <row r="1270" spans="1:2">
      <c r="A1270" s="19">
        <f>Raw_Data!J1270</f>
        <v>1775</v>
      </c>
      <c r="B1270" s="19">
        <f>--(Raw_Data!B1270="Yes")</f>
        <v>0</v>
      </c>
    </row>
    <row r="1271" spans="1:2">
      <c r="A1271" s="19">
        <f>Raw_Data!J1271</f>
        <v>1778</v>
      </c>
      <c r="B1271" s="19">
        <f>--(Raw_Data!B1271="Yes")</f>
        <v>0</v>
      </c>
    </row>
    <row r="1272" spans="1:2">
      <c r="A1272" s="19">
        <f>Raw_Data!J1272</f>
        <v>1779</v>
      </c>
      <c r="B1272" s="19">
        <f>--(Raw_Data!B1272="Yes")</f>
        <v>0</v>
      </c>
    </row>
    <row r="1273" spans="1:2">
      <c r="A1273" s="19">
        <f>Raw_Data!J1273</f>
        <v>1780</v>
      </c>
      <c r="B1273" s="19">
        <f>--(Raw_Data!B1273="Yes")</f>
        <v>1</v>
      </c>
    </row>
    <row r="1274" spans="1:2">
      <c r="A1274" s="19">
        <f>Raw_Data!J1274</f>
        <v>1782</v>
      </c>
      <c r="B1274" s="19">
        <f>--(Raw_Data!B1274="Yes")</f>
        <v>0</v>
      </c>
    </row>
    <row r="1275" spans="1:2">
      <c r="A1275" s="19">
        <f>Raw_Data!J1275</f>
        <v>1783</v>
      </c>
      <c r="B1275" s="19">
        <f>--(Raw_Data!B1275="Yes")</f>
        <v>1</v>
      </c>
    </row>
    <row r="1276" spans="1:2">
      <c r="A1276" s="19">
        <f>Raw_Data!J1276</f>
        <v>1784</v>
      </c>
      <c r="B1276" s="19">
        <f>--(Raw_Data!B1276="Yes")</f>
        <v>0</v>
      </c>
    </row>
    <row r="1277" spans="1:2">
      <c r="A1277" s="19">
        <f>Raw_Data!J1277</f>
        <v>1786</v>
      </c>
      <c r="B1277" s="19">
        <f>--(Raw_Data!B1277="Yes")</f>
        <v>0</v>
      </c>
    </row>
    <row r="1278" spans="1:2">
      <c r="A1278" s="19">
        <f>Raw_Data!J1278</f>
        <v>1787</v>
      </c>
      <c r="B1278" s="19">
        <f>--(Raw_Data!B1278="Yes")</f>
        <v>0</v>
      </c>
    </row>
    <row r="1279" spans="1:2">
      <c r="A1279" s="19">
        <f>Raw_Data!J1279</f>
        <v>1789</v>
      </c>
      <c r="B1279" s="19">
        <f>--(Raw_Data!B1279="Yes")</f>
        <v>0</v>
      </c>
    </row>
    <row r="1280" spans="1:2">
      <c r="A1280" s="19">
        <f>Raw_Data!J1280</f>
        <v>1790</v>
      </c>
      <c r="B1280" s="19">
        <f>--(Raw_Data!B1280="Yes")</f>
        <v>0</v>
      </c>
    </row>
    <row r="1281" spans="1:2">
      <c r="A1281" s="19">
        <f>Raw_Data!J1281</f>
        <v>1792</v>
      </c>
      <c r="B1281" s="19">
        <f>--(Raw_Data!B1281="Yes")</f>
        <v>1</v>
      </c>
    </row>
    <row r="1282" spans="1:2">
      <c r="A1282" s="19">
        <f>Raw_Data!J1282</f>
        <v>1794</v>
      </c>
      <c r="B1282" s="19">
        <f>--(Raw_Data!B1282="Yes")</f>
        <v>0</v>
      </c>
    </row>
    <row r="1283" spans="1:2">
      <c r="A1283" s="19">
        <f>Raw_Data!J1283</f>
        <v>1797</v>
      </c>
      <c r="B1283" s="19">
        <f>--(Raw_Data!B1283="Yes")</f>
        <v>1</v>
      </c>
    </row>
    <row r="1284" spans="1:2">
      <c r="A1284" s="19">
        <f>Raw_Data!J1284</f>
        <v>1798</v>
      </c>
      <c r="B1284" s="19">
        <f>--(Raw_Data!B1284="Yes")</f>
        <v>0</v>
      </c>
    </row>
    <row r="1285" spans="1:2">
      <c r="A1285" s="19">
        <f>Raw_Data!J1285</f>
        <v>1799</v>
      </c>
      <c r="B1285" s="19">
        <f>--(Raw_Data!B1285="Yes")</f>
        <v>0</v>
      </c>
    </row>
    <row r="1286" spans="1:2">
      <c r="A1286" s="19">
        <f>Raw_Data!J1286</f>
        <v>1800</v>
      </c>
      <c r="B1286" s="19">
        <f>--(Raw_Data!B1286="Yes")</f>
        <v>0</v>
      </c>
    </row>
    <row r="1287" spans="1:2">
      <c r="A1287" s="19">
        <f>Raw_Data!J1287</f>
        <v>1801</v>
      </c>
      <c r="B1287" s="19">
        <f>--(Raw_Data!B1287="Yes")</f>
        <v>0</v>
      </c>
    </row>
    <row r="1288" spans="1:2">
      <c r="A1288" s="19">
        <f>Raw_Data!J1288</f>
        <v>1802</v>
      </c>
      <c r="B1288" s="19">
        <f>--(Raw_Data!B1288="Yes")</f>
        <v>0</v>
      </c>
    </row>
    <row r="1289" spans="1:2">
      <c r="A1289" s="19">
        <f>Raw_Data!J1289</f>
        <v>1803</v>
      </c>
      <c r="B1289" s="19">
        <f>--(Raw_Data!B1289="Yes")</f>
        <v>0</v>
      </c>
    </row>
    <row r="1290" spans="1:2">
      <c r="A1290" s="19">
        <f>Raw_Data!J1290</f>
        <v>1804</v>
      </c>
      <c r="B1290" s="19">
        <f>--(Raw_Data!B1290="Yes")</f>
        <v>0</v>
      </c>
    </row>
    <row r="1291" spans="1:2">
      <c r="A1291" s="19">
        <f>Raw_Data!J1291</f>
        <v>1805</v>
      </c>
      <c r="B1291" s="19">
        <f>--(Raw_Data!B1291="Yes")</f>
        <v>0</v>
      </c>
    </row>
    <row r="1292" spans="1:2">
      <c r="A1292" s="19">
        <f>Raw_Data!J1292</f>
        <v>1807</v>
      </c>
      <c r="B1292" s="19">
        <f>--(Raw_Data!B1292="Yes")</f>
        <v>1</v>
      </c>
    </row>
    <row r="1293" spans="1:2">
      <c r="A1293" s="19">
        <f>Raw_Data!J1293</f>
        <v>1809</v>
      </c>
      <c r="B1293" s="19">
        <f>--(Raw_Data!B1293="Yes")</f>
        <v>1</v>
      </c>
    </row>
    <row r="1294" spans="1:2">
      <c r="A1294" s="19">
        <f>Raw_Data!J1294</f>
        <v>1812</v>
      </c>
      <c r="B1294" s="19">
        <f>--(Raw_Data!B1294="Yes")</f>
        <v>0</v>
      </c>
    </row>
    <row r="1295" spans="1:2">
      <c r="A1295" s="19">
        <f>Raw_Data!J1295</f>
        <v>1813</v>
      </c>
      <c r="B1295" s="19">
        <f>--(Raw_Data!B1295="Yes")</f>
        <v>0</v>
      </c>
    </row>
    <row r="1296" spans="1:2">
      <c r="A1296" s="19">
        <f>Raw_Data!J1296</f>
        <v>1814</v>
      </c>
      <c r="B1296" s="19">
        <f>--(Raw_Data!B1296="Yes")</f>
        <v>0</v>
      </c>
    </row>
    <row r="1297" spans="1:2">
      <c r="A1297" s="19">
        <f>Raw_Data!J1297</f>
        <v>1815</v>
      </c>
      <c r="B1297" s="19">
        <f>--(Raw_Data!B1297="Yes")</f>
        <v>0</v>
      </c>
    </row>
    <row r="1298" spans="1:2">
      <c r="A1298" s="19">
        <f>Raw_Data!J1298</f>
        <v>1816</v>
      </c>
      <c r="B1298" s="19">
        <f>--(Raw_Data!B1298="Yes")</f>
        <v>0</v>
      </c>
    </row>
    <row r="1299" spans="1:2">
      <c r="A1299" s="19">
        <f>Raw_Data!J1299</f>
        <v>1818</v>
      </c>
      <c r="B1299" s="19">
        <f>--(Raw_Data!B1299="Yes")</f>
        <v>1</v>
      </c>
    </row>
    <row r="1300" spans="1:2">
      <c r="A1300" s="19">
        <f>Raw_Data!J1300</f>
        <v>1821</v>
      </c>
      <c r="B1300" s="19">
        <f>--(Raw_Data!B1300="Yes")</f>
        <v>1</v>
      </c>
    </row>
    <row r="1301" spans="1:2">
      <c r="A1301" s="19">
        <f>Raw_Data!J1301</f>
        <v>1822</v>
      </c>
      <c r="B1301" s="19">
        <f>--(Raw_Data!B1301="Yes")</f>
        <v>0</v>
      </c>
    </row>
    <row r="1302" spans="1:2">
      <c r="A1302" s="19">
        <f>Raw_Data!J1302</f>
        <v>1823</v>
      </c>
      <c r="B1302" s="19">
        <f>--(Raw_Data!B1302="Yes")</f>
        <v>0</v>
      </c>
    </row>
    <row r="1303" spans="1:2">
      <c r="A1303" s="19">
        <f>Raw_Data!J1303</f>
        <v>1824</v>
      </c>
      <c r="B1303" s="19">
        <f>--(Raw_Data!B1303="Yes")</f>
        <v>0</v>
      </c>
    </row>
    <row r="1304" spans="1:2">
      <c r="A1304" s="19">
        <f>Raw_Data!J1304</f>
        <v>1826</v>
      </c>
      <c r="B1304" s="19">
        <f>--(Raw_Data!B1304="Yes")</f>
        <v>0</v>
      </c>
    </row>
    <row r="1305" spans="1:2">
      <c r="A1305" s="19">
        <f>Raw_Data!J1305</f>
        <v>1827</v>
      </c>
      <c r="B1305" s="19">
        <f>--(Raw_Data!B1305="Yes")</f>
        <v>0</v>
      </c>
    </row>
    <row r="1306" spans="1:2">
      <c r="A1306" s="19">
        <f>Raw_Data!J1306</f>
        <v>1829</v>
      </c>
      <c r="B1306" s="19">
        <f>--(Raw_Data!B1306="Yes")</f>
        <v>0</v>
      </c>
    </row>
    <row r="1307" spans="1:2">
      <c r="A1307" s="19">
        <f>Raw_Data!J1307</f>
        <v>1830</v>
      </c>
      <c r="B1307" s="19">
        <f>--(Raw_Data!B1307="Yes")</f>
        <v>0</v>
      </c>
    </row>
    <row r="1308" spans="1:2">
      <c r="A1308" s="19">
        <f>Raw_Data!J1308</f>
        <v>1833</v>
      </c>
      <c r="B1308" s="19">
        <f>--(Raw_Data!B1308="Yes")</f>
        <v>0</v>
      </c>
    </row>
    <row r="1309" spans="1:2">
      <c r="A1309" s="19">
        <f>Raw_Data!J1309</f>
        <v>1834</v>
      </c>
      <c r="B1309" s="19">
        <f>--(Raw_Data!B1309="Yes")</f>
        <v>0</v>
      </c>
    </row>
    <row r="1310" spans="1:2">
      <c r="A1310" s="19">
        <f>Raw_Data!J1310</f>
        <v>1835</v>
      </c>
      <c r="B1310" s="19">
        <f>--(Raw_Data!B1310="Yes")</f>
        <v>0</v>
      </c>
    </row>
    <row r="1311" spans="1:2">
      <c r="A1311" s="19">
        <f>Raw_Data!J1311</f>
        <v>1836</v>
      </c>
      <c r="B1311" s="19">
        <f>--(Raw_Data!B1311="Yes")</f>
        <v>0</v>
      </c>
    </row>
    <row r="1312" spans="1:2">
      <c r="A1312" s="19">
        <f>Raw_Data!J1312</f>
        <v>1837</v>
      </c>
      <c r="B1312" s="19">
        <f>--(Raw_Data!B1312="Yes")</f>
        <v>0</v>
      </c>
    </row>
    <row r="1313" spans="1:2">
      <c r="A1313" s="19">
        <f>Raw_Data!J1313</f>
        <v>1839</v>
      </c>
      <c r="B1313" s="19">
        <f>--(Raw_Data!B1313="Yes")</f>
        <v>0</v>
      </c>
    </row>
    <row r="1314" spans="1:2">
      <c r="A1314" s="19">
        <f>Raw_Data!J1314</f>
        <v>1842</v>
      </c>
      <c r="B1314" s="19">
        <f>--(Raw_Data!B1314="Yes")</f>
        <v>1</v>
      </c>
    </row>
    <row r="1315" spans="1:2">
      <c r="A1315" s="19">
        <f>Raw_Data!J1315</f>
        <v>1844</v>
      </c>
      <c r="B1315" s="19">
        <f>--(Raw_Data!B1315="Yes")</f>
        <v>1</v>
      </c>
    </row>
    <row r="1316" spans="1:2">
      <c r="A1316" s="19">
        <f>Raw_Data!J1316</f>
        <v>1845</v>
      </c>
      <c r="B1316" s="19">
        <f>--(Raw_Data!B1316="Yes")</f>
        <v>0</v>
      </c>
    </row>
    <row r="1317" spans="1:2">
      <c r="A1317" s="19">
        <f>Raw_Data!J1317</f>
        <v>1847</v>
      </c>
      <c r="B1317" s="19">
        <f>--(Raw_Data!B1317="Yes")</f>
        <v>0</v>
      </c>
    </row>
    <row r="1318" spans="1:2">
      <c r="A1318" s="19">
        <f>Raw_Data!J1318</f>
        <v>1849</v>
      </c>
      <c r="B1318" s="19">
        <f>--(Raw_Data!B1318="Yes")</f>
        <v>0</v>
      </c>
    </row>
    <row r="1319" spans="1:2">
      <c r="A1319" s="19">
        <f>Raw_Data!J1319</f>
        <v>1850</v>
      </c>
      <c r="B1319" s="19">
        <f>--(Raw_Data!B1319="Yes")</f>
        <v>0</v>
      </c>
    </row>
    <row r="1320" spans="1:2">
      <c r="A1320" s="19">
        <f>Raw_Data!J1320</f>
        <v>1852</v>
      </c>
      <c r="B1320" s="19">
        <f>--(Raw_Data!B1320="Yes")</f>
        <v>0</v>
      </c>
    </row>
    <row r="1321" spans="1:2">
      <c r="A1321" s="19">
        <f>Raw_Data!J1321</f>
        <v>1853</v>
      </c>
      <c r="B1321" s="19">
        <f>--(Raw_Data!B1321="Yes")</f>
        <v>0</v>
      </c>
    </row>
    <row r="1322" spans="1:2">
      <c r="A1322" s="19">
        <f>Raw_Data!J1322</f>
        <v>1854</v>
      </c>
      <c r="B1322" s="19">
        <f>--(Raw_Data!B1322="Yes")</f>
        <v>0</v>
      </c>
    </row>
    <row r="1323" spans="1:2">
      <c r="A1323" s="19">
        <f>Raw_Data!J1323</f>
        <v>1856</v>
      </c>
      <c r="B1323" s="19">
        <f>--(Raw_Data!B1323="Yes")</f>
        <v>0</v>
      </c>
    </row>
    <row r="1324" spans="1:2">
      <c r="A1324" s="19">
        <f>Raw_Data!J1324</f>
        <v>1857</v>
      </c>
      <c r="B1324" s="19">
        <f>--(Raw_Data!B1324="Yes")</f>
        <v>0</v>
      </c>
    </row>
    <row r="1325" spans="1:2">
      <c r="A1325" s="19">
        <f>Raw_Data!J1325</f>
        <v>1858</v>
      </c>
      <c r="B1325" s="19">
        <f>--(Raw_Data!B1325="Yes")</f>
        <v>0</v>
      </c>
    </row>
    <row r="1326" spans="1:2">
      <c r="A1326" s="19">
        <f>Raw_Data!J1326</f>
        <v>1859</v>
      </c>
      <c r="B1326" s="19">
        <f>--(Raw_Data!B1326="Yes")</f>
        <v>0</v>
      </c>
    </row>
    <row r="1327" spans="1:2">
      <c r="A1327" s="19">
        <f>Raw_Data!J1327</f>
        <v>1860</v>
      </c>
      <c r="B1327" s="19">
        <f>--(Raw_Data!B1327="Yes")</f>
        <v>0</v>
      </c>
    </row>
    <row r="1328" spans="1:2">
      <c r="A1328" s="19">
        <f>Raw_Data!J1328</f>
        <v>1862</v>
      </c>
      <c r="B1328" s="19">
        <f>--(Raw_Data!B1328="Yes")</f>
        <v>1</v>
      </c>
    </row>
    <row r="1329" spans="1:2">
      <c r="A1329" s="19">
        <f>Raw_Data!J1329</f>
        <v>1863</v>
      </c>
      <c r="B1329" s="19">
        <f>--(Raw_Data!B1329="Yes")</f>
        <v>0</v>
      </c>
    </row>
    <row r="1330" spans="1:2">
      <c r="A1330" s="19">
        <f>Raw_Data!J1330</f>
        <v>1864</v>
      </c>
      <c r="B1330" s="19">
        <f>--(Raw_Data!B1330="Yes")</f>
        <v>0</v>
      </c>
    </row>
    <row r="1331" spans="1:2">
      <c r="A1331" s="19">
        <f>Raw_Data!J1331</f>
        <v>1865</v>
      </c>
      <c r="B1331" s="19">
        <f>--(Raw_Data!B1331="Yes")</f>
        <v>0</v>
      </c>
    </row>
    <row r="1332" spans="1:2">
      <c r="A1332" s="19">
        <f>Raw_Data!J1332</f>
        <v>1866</v>
      </c>
      <c r="B1332" s="19">
        <f>--(Raw_Data!B1332="Yes")</f>
        <v>0</v>
      </c>
    </row>
    <row r="1333" spans="1:2">
      <c r="A1333" s="19">
        <f>Raw_Data!J1333</f>
        <v>1867</v>
      </c>
      <c r="B1333" s="19">
        <f>--(Raw_Data!B1333="Yes")</f>
        <v>0</v>
      </c>
    </row>
    <row r="1334" spans="1:2">
      <c r="A1334" s="19">
        <f>Raw_Data!J1334</f>
        <v>1868</v>
      </c>
      <c r="B1334" s="19">
        <f>--(Raw_Data!B1334="Yes")</f>
        <v>1</v>
      </c>
    </row>
    <row r="1335" spans="1:2">
      <c r="A1335" s="19">
        <f>Raw_Data!J1335</f>
        <v>1869</v>
      </c>
      <c r="B1335" s="19">
        <f>--(Raw_Data!B1335="Yes")</f>
        <v>1</v>
      </c>
    </row>
    <row r="1336" spans="1:2">
      <c r="A1336" s="19">
        <f>Raw_Data!J1336</f>
        <v>1870</v>
      </c>
      <c r="B1336" s="19">
        <f>--(Raw_Data!B1336="Yes")</f>
        <v>0</v>
      </c>
    </row>
    <row r="1337" spans="1:2">
      <c r="A1337" s="19">
        <f>Raw_Data!J1337</f>
        <v>1871</v>
      </c>
      <c r="B1337" s="19">
        <f>--(Raw_Data!B1337="Yes")</f>
        <v>0</v>
      </c>
    </row>
    <row r="1338" spans="1:2">
      <c r="A1338" s="19">
        <f>Raw_Data!J1338</f>
        <v>1873</v>
      </c>
      <c r="B1338" s="19">
        <f>--(Raw_Data!B1338="Yes")</f>
        <v>0</v>
      </c>
    </row>
    <row r="1339" spans="1:2">
      <c r="A1339" s="19">
        <f>Raw_Data!J1339</f>
        <v>1875</v>
      </c>
      <c r="B1339" s="19">
        <f>--(Raw_Data!B1339="Yes")</f>
        <v>0</v>
      </c>
    </row>
    <row r="1340" spans="1:2">
      <c r="A1340" s="19">
        <f>Raw_Data!J1340</f>
        <v>1876</v>
      </c>
      <c r="B1340" s="19">
        <f>--(Raw_Data!B1340="Yes")</f>
        <v>1</v>
      </c>
    </row>
    <row r="1341" spans="1:2">
      <c r="A1341" s="19">
        <f>Raw_Data!J1341</f>
        <v>1878</v>
      </c>
      <c r="B1341" s="19">
        <f>--(Raw_Data!B1341="Yes")</f>
        <v>1</v>
      </c>
    </row>
    <row r="1342" spans="1:2">
      <c r="A1342" s="19">
        <f>Raw_Data!J1342</f>
        <v>1880</v>
      </c>
      <c r="B1342" s="19">
        <f>--(Raw_Data!B1342="Yes")</f>
        <v>0</v>
      </c>
    </row>
    <row r="1343" spans="1:2">
      <c r="A1343" s="19">
        <f>Raw_Data!J1343</f>
        <v>1881</v>
      </c>
      <c r="B1343" s="19">
        <f>--(Raw_Data!B1343="Yes")</f>
        <v>0</v>
      </c>
    </row>
    <row r="1344" spans="1:2">
      <c r="A1344" s="19">
        <f>Raw_Data!J1344</f>
        <v>1882</v>
      </c>
      <c r="B1344" s="19">
        <f>--(Raw_Data!B1344="Yes")</f>
        <v>0</v>
      </c>
    </row>
    <row r="1345" spans="1:2">
      <c r="A1345" s="19">
        <f>Raw_Data!J1345</f>
        <v>1883</v>
      </c>
      <c r="B1345" s="19">
        <f>--(Raw_Data!B1345="Yes")</f>
        <v>0</v>
      </c>
    </row>
    <row r="1346" spans="1:2">
      <c r="A1346" s="19">
        <f>Raw_Data!J1346</f>
        <v>1885</v>
      </c>
      <c r="B1346" s="19">
        <f>--(Raw_Data!B1346="Yes")</f>
        <v>0</v>
      </c>
    </row>
    <row r="1347" spans="1:2">
      <c r="A1347" s="19">
        <f>Raw_Data!J1347</f>
        <v>1886</v>
      </c>
      <c r="B1347" s="19">
        <f>--(Raw_Data!B1347="Yes")</f>
        <v>0</v>
      </c>
    </row>
    <row r="1348" spans="1:2">
      <c r="A1348" s="19">
        <f>Raw_Data!J1348</f>
        <v>1888</v>
      </c>
      <c r="B1348" s="19">
        <f>--(Raw_Data!B1348="Yes")</f>
        <v>0</v>
      </c>
    </row>
    <row r="1349" spans="1:2">
      <c r="A1349" s="19">
        <f>Raw_Data!J1349</f>
        <v>1890</v>
      </c>
      <c r="B1349" s="19">
        <f>--(Raw_Data!B1349="Yes")</f>
        <v>0</v>
      </c>
    </row>
    <row r="1350" spans="1:2">
      <c r="A1350" s="19">
        <f>Raw_Data!J1350</f>
        <v>1892</v>
      </c>
      <c r="B1350" s="19">
        <f>--(Raw_Data!B1350="Yes")</f>
        <v>0</v>
      </c>
    </row>
    <row r="1351" spans="1:2">
      <c r="A1351" s="19">
        <f>Raw_Data!J1351</f>
        <v>1893</v>
      </c>
      <c r="B1351" s="19">
        <f>--(Raw_Data!B1351="Yes")</f>
        <v>0</v>
      </c>
    </row>
    <row r="1352" spans="1:2">
      <c r="A1352" s="19">
        <f>Raw_Data!J1352</f>
        <v>1898</v>
      </c>
      <c r="B1352" s="19">
        <f>--(Raw_Data!B1352="Yes")</f>
        <v>0</v>
      </c>
    </row>
    <row r="1353" spans="1:2">
      <c r="A1353" s="19">
        <f>Raw_Data!J1353</f>
        <v>1900</v>
      </c>
      <c r="B1353" s="19">
        <f>--(Raw_Data!B1353="Yes")</f>
        <v>0</v>
      </c>
    </row>
    <row r="1354" spans="1:2">
      <c r="A1354" s="19">
        <f>Raw_Data!J1354</f>
        <v>1903</v>
      </c>
      <c r="B1354" s="19">
        <f>--(Raw_Data!B1354="Yes")</f>
        <v>0</v>
      </c>
    </row>
    <row r="1355" spans="1:2">
      <c r="A1355" s="19">
        <f>Raw_Data!J1355</f>
        <v>1905</v>
      </c>
      <c r="B1355" s="19">
        <f>--(Raw_Data!B1355="Yes")</f>
        <v>1</v>
      </c>
    </row>
    <row r="1356" spans="1:2">
      <c r="A1356" s="19">
        <f>Raw_Data!J1356</f>
        <v>1907</v>
      </c>
      <c r="B1356" s="19">
        <f>--(Raw_Data!B1356="Yes")</f>
        <v>1</v>
      </c>
    </row>
    <row r="1357" spans="1:2">
      <c r="A1357" s="19">
        <f>Raw_Data!J1357</f>
        <v>1908</v>
      </c>
      <c r="B1357" s="19">
        <f>--(Raw_Data!B1357="Yes")</f>
        <v>0</v>
      </c>
    </row>
    <row r="1358" spans="1:2">
      <c r="A1358" s="19">
        <f>Raw_Data!J1358</f>
        <v>1909</v>
      </c>
      <c r="B1358" s="19">
        <f>--(Raw_Data!B1358="Yes")</f>
        <v>0</v>
      </c>
    </row>
    <row r="1359" spans="1:2">
      <c r="A1359" s="19">
        <f>Raw_Data!J1359</f>
        <v>1911</v>
      </c>
      <c r="B1359" s="19">
        <f>--(Raw_Data!B1359="Yes")</f>
        <v>0</v>
      </c>
    </row>
    <row r="1360" spans="1:2">
      <c r="A1360" s="19">
        <f>Raw_Data!J1360</f>
        <v>1912</v>
      </c>
      <c r="B1360" s="19">
        <f>--(Raw_Data!B1360="Yes")</f>
        <v>0</v>
      </c>
    </row>
    <row r="1361" spans="1:2">
      <c r="A1361" s="19">
        <f>Raw_Data!J1361</f>
        <v>1915</v>
      </c>
      <c r="B1361" s="19">
        <f>--(Raw_Data!B1361="Yes")</f>
        <v>0</v>
      </c>
    </row>
    <row r="1362" spans="1:2">
      <c r="A1362" s="19">
        <f>Raw_Data!J1362</f>
        <v>1916</v>
      </c>
      <c r="B1362" s="19">
        <f>--(Raw_Data!B1362="Yes")</f>
        <v>0</v>
      </c>
    </row>
    <row r="1363" spans="1:2">
      <c r="A1363" s="19">
        <f>Raw_Data!J1363</f>
        <v>1918</v>
      </c>
      <c r="B1363" s="19">
        <f>--(Raw_Data!B1363="Yes")</f>
        <v>0</v>
      </c>
    </row>
    <row r="1364" spans="1:2">
      <c r="A1364" s="19">
        <f>Raw_Data!J1364</f>
        <v>1922</v>
      </c>
      <c r="B1364" s="19">
        <f>--(Raw_Data!B1364="Yes")</f>
        <v>0</v>
      </c>
    </row>
    <row r="1365" spans="1:2">
      <c r="A1365" s="19">
        <f>Raw_Data!J1365</f>
        <v>1924</v>
      </c>
      <c r="B1365" s="19">
        <f>--(Raw_Data!B1365="Yes")</f>
        <v>0</v>
      </c>
    </row>
    <row r="1366" spans="1:2">
      <c r="A1366" s="19">
        <f>Raw_Data!J1366</f>
        <v>1927</v>
      </c>
      <c r="B1366" s="19">
        <f>--(Raw_Data!B1366="Yes")</f>
        <v>0</v>
      </c>
    </row>
    <row r="1367" spans="1:2">
      <c r="A1367" s="19">
        <f>Raw_Data!J1367</f>
        <v>1928</v>
      </c>
      <c r="B1367" s="19">
        <f>--(Raw_Data!B1367="Yes")</f>
        <v>1</v>
      </c>
    </row>
    <row r="1368" spans="1:2">
      <c r="A1368" s="19">
        <f>Raw_Data!J1368</f>
        <v>1929</v>
      </c>
      <c r="B1368" s="19">
        <f>--(Raw_Data!B1368="Yes")</f>
        <v>0</v>
      </c>
    </row>
    <row r="1369" spans="1:2">
      <c r="A1369" s="19">
        <f>Raw_Data!J1369</f>
        <v>1931</v>
      </c>
      <c r="B1369" s="19">
        <f>--(Raw_Data!B1369="Yes")</f>
        <v>0</v>
      </c>
    </row>
    <row r="1370" spans="1:2">
      <c r="A1370" s="19">
        <f>Raw_Data!J1370</f>
        <v>1932</v>
      </c>
      <c r="B1370" s="19">
        <f>--(Raw_Data!B1370="Yes")</f>
        <v>0</v>
      </c>
    </row>
    <row r="1371" spans="1:2">
      <c r="A1371" s="19">
        <f>Raw_Data!J1371</f>
        <v>1933</v>
      </c>
      <c r="B1371" s="19">
        <f>--(Raw_Data!B1371="Yes")</f>
        <v>1</v>
      </c>
    </row>
    <row r="1372" spans="1:2">
      <c r="A1372" s="19">
        <f>Raw_Data!J1372</f>
        <v>1934</v>
      </c>
      <c r="B1372" s="19">
        <f>--(Raw_Data!B1372="Yes")</f>
        <v>0</v>
      </c>
    </row>
    <row r="1373" spans="1:2">
      <c r="A1373" s="19">
        <f>Raw_Data!J1373</f>
        <v>1935</v>
      </c>
      <c r="B1373" s="19">
        <f>--(Raw_Data!B1373="Yes")</f>
        <v>0</v>
      </c>
    </row>
    <row r="1374" spans="1:2">
      <c r="A1374" s="19">
        <f>Raw_Data!J1374</f>
        <v>1936</v>
      </c>
      <c r="B1374" s="19">
        <f>--(Raw_Data!B1374="Yes")</f>
        <v>0</v>
      </c>
    </row>
    <row r="1375" spans="1:2">
      <c r="A1375" s="19">
        <f>Raw_Data!J1375</f>
        <v>1937</v>
      </c>
      <c r="B1375" s="19">
        <f>--(Raw_Data!B1375="Yes")</f>
        <v>0</v>
      </c>
    </row>
    <row r="1376" spans="1:2">
      <c r="A1376" s="19">
        <f>Raw_Data!J1376</f>
        <v>1938</v>
      </c>
      <c r="B1376" s="19">
        <f>--(Raw_Data!B1376="Yes")</f>
        <v>0</v>
      </c>
    </row>
    <row r="1377" spans="1:2">
      <c r="A1377" s="19">
        <f>Raw_Data!J1377</f>
        <v>1939</v>
      </c>
      <c r="B1377" s="19">
        <f>--(Raw_Data!B1377="Yes")</f>
        <v>1</v>
      </c>
    </row>
    <row r="1378" spans="1:2">
      <c r="A1378" s="19">
        <f>Raw_Data!J1378</f>
        <v>1940</v>
      </c>
      <c r="B1378" s="19">
        <f>--(Raw_Data!B1378="Yes")</f>
        <v>0</v>
      </c>
    </row>
    <row r="1379" spans="1:2">
      <c r="A1379" s="19">
        <f>Raw_Data!J1379</f>
        <v>1941</v>
      </c>
      <c r="B1379" s="19">
        <f>--(Raw_Data!B1379="Yes")</f>
        <v>0</v>
      </c>
    </row>
    <row r="1380" spans="1:2">
      <c r="A1380" s="19">
        <f>Raw_Data!J1380</f>
        <v>1943</v>
      </c>
      <c r="B1380" s="19">
        <f>--(Raw_Data!B1380="Yes")</f>
        <v>0</v>
      </c>
    </row>
    <row r="1381" spans="1:2">
      <c r="A1381" s="19">
        <f>Raw_Data!J1381</f>
        <v>1944</v>
      </c>
      <c r="B1381" s="19">
        <f>--(Raw_Data!B1381="Yes")</f>
        <v>1</v>
      </c>
    </row>
    <row r="1382" spans="1:2">
      <c r="A1382" s="19">
        <f>Raw_Data!J1382</f>
        <v>1945</v>
      </c>
      <c r="B1382" s="19">
        <f>--(Raw_Data!B1382="Yes")</f>
        <v>0</v>
      </c>
    </row>
    <row r="1383" spans="1:2">
      <c r="A1383" s="19">
        <f>Raw_Data!J1383</f>
        <v>1947</v>
      </c>
      <c r="B1383" s="19">
        <f>--(Raw_Data!B1383="Yes")</f>
        <v>0</v>
      </c>
    </row>
    <row r="1384" spans="1:2">
      <c r="A1384" s="19">
        <f>Raw_Data!J1384</f>
        <v>1948</v>
      </c>
      <c r="B1384" s="19">
        <f>--(Raw_Data!B1384="Yes")</f>
        <v>0</v>
      </c>
    </row>
    <row r="1385" spans="1:2">
      <c r="A1385" s="19">
        <f>Raw_Data!J1385</f>
        <v>1949</v>
      </c>
      <c r="B1385" s="19">
        <f>--(Raw_Data!B1385="Yes")</f>
        <v>0</v>
      </c>
    </row>
    <row r="1386" spans="1:2">
      <c r="A1386" s="19">
        <f>Raw_Data!J1386</f>
        <v>1950</v>
      </c>
      <c r="B1386" s="19">
        <f>--(Raw_Data!B1386="Yes")</f>
        <v>0</v>
      </c>
    </row>
    <row r="1387" spans="1:2">
      <c r="A1387" s="19">
        <f>Raw_Data!J1387</f>
        <v>1951</v>
      </c>
      <c r="B1387" s="19">
        <f>--(Raw_Data!B1387="Yes")</f>
        <v>0</v>
      </c>
    </row>
    <row r="1388" spans="1:2">
      <c r="A1388" s="19">
        <f>Raw_Data!J1388</f>
        <v>1952</v>
      </c>
      <c r="B1388" s="19">
        <f>--(Raw_Data!B1388="Yes")</f>
        <v>0</v>
      </c>
    </row>
    <row r="1389" spans="1:2">
      <c r="A1389" s="19">
        <f>Raw_Data!J1389</f>
        <v>1954</v>
      </c>
      <c r="B1389" s="19">
        <f>--(Raw_Data!B1389="Yes")</f>
        <v>0</v>
      </c>
    </row>
    <row r="1390" spans="1:2">
      <c r="A1390" s="19">
        <f>Raw_Data!J1390</f>
        <v>1955</v>
      </c>
      <c r="B1390" s="19">
        <f>--(Raw_Data!B1390="Yes")</f>
        <v>0</v>
      </c>
    </row>
    <row r="1391" spans="1:2">
      <c r="A1391" s="19">
        <f>Raw_Data!J1391</f>
        <v>1956</v>
      </c>
      <c r="B1391" s="19">
        <f>--(Raw_Data!B1391="Yes")</f>
        <v>0</v>
      </c>
    </row>
    <row r="1392" spans="1:2">
      <c r="A1392" s="19">
        <f>Raw_Data!J1392</f>
        <v>1960</v>
      </c>
      <c r="B1392" s="19">
        <f>--(Raw_Data!B1392="Yes")</f>
        <v>1</v>
      </c>
    </row>
    <row r="1393" spans="1:2">
      <c r="A1393" s="19">
        <f>Raw_Data!J1393</f>
        <v>1961</v>
      </c>
      <c r="B1393" s="19">
        <f>--(Raw_Data!B1393="Yes")</f>
        <v>0</v>
      </c>
    </row>
    <row r="1394" spans="1:2">
      <c r="A1394" s="19">
        <f>Raw_Data!J1394</f>
        <v>1962</v>
      </c>
      <c r="B1394" s="19">
        <f>--(Raw_Data!B1394="Yes")</f>
        <v>0</v>
      </c>
    </row>
    <row r="1395" spans="1:2">
      <c r="A1395" s="19">
        <f>Raw_Data!J1395</f>
        <v>1965</v>
      </c>
      <c r="B1395" s="19">
        <f>--(Raw_Data!B1395="Yes")</f>
        <v>0</v>
      </c>
    </row>
    <row r="1396" spans="1:2">
      <c r="A1396" s="19">
        <f>Raw_Data!J1396</f>
        <v>1966</v>
      </c>
      <c r="B1396" s="19">
        <f>--(Raw_Data!B1396="Yes")</f>
        <v>0</v>
      </c>
    </row>
    <row r="1397" spans="1:2">
      <c r="A1397" s="19">
        <f>Raw_Data!J1397</f>
        <v>1967</v>
      </c>
      <c r="B1397" s="19">
        <f>--(Raw_Data!B1397="Yes")</f>
        <v>1</v>
      </c>
    </row>
    <row r="1398" spans="1:2">
      <c r="A1398" s="19">
        <f>Raw_Data!J1398</f>
        <v>1968</v>
      </c>
      <c r="B1398" s="19">
        <f>--(Raw_Data!B1398="Yes")</f>
        <v>1</v>
      </c>
    </row>
    <row r="1399" spans="1:2">
      <c r="A1399" s="19">
        <f>Raw_Data!J1399</f>
        <v>1969</v>
      </c>
      <c r="B1399" s="19">
        <f>--(Raw_Data!B1399="Yes")</f>
        <v>0</v>
      </c>
    </row>
    <row r="1400" spans="1:2">
      <c r="A1400" s="19">
        <f>Raw_Data!J1400</f>
        <v>1970</v>
      </c>
      <c r="B1400" s="19">
        <f>--(Raw_Data!B1400="Yes")</f>
        <v>0</v>
      </c>
    </row>
    <row r="1401" spans="1:2">
      <c r="A1401" s="19">
        <f>Raw_Data!J1401</f>
        <v>1971</v>
      </c>
      <c r="B1401" s="19">
        <f>--(Raw_Data!B1401="Yes")</f>
        <v>0</v>
      </c>
    </row>
    <row r="1402" spans="1:2">
      <c r="A1402" s="19">
        <f>Raw_Data!J1402</f>
        <v>1972</v>
      </c>
      <c r="B1402" s="19">
        <f>--(Raw_Data!B1402="Yes")</f>
        <v>0</v>
      </c>
    </row>
    <row r="1403" spans="1:2">
      <c r="A1403" s="19">
        <f>Raw_Data!J1403</f>
        <v>1973</v>
      </c>
      <c r="B1403" s="19">
        <f>--(Raw_Data!B1403="Yes")</f>
        <v>0</v>
      </c>
    </row>
    <row r="1404" spans="1:2">
      <c r="A1404" s="19">
        <f>Raw_Data!J1404</f>
        <v>1974</v>
      </c>
      <c r="B1404" s="19">
        <f>--(Raw_Data!B1404="Yes")</f>
        <v>0</v>
      </c>
    </row>
    <row r="1405" spans="1:2">
      <c r="A1405" s="19">
        <f>Raw_Data!J1405</f>
        <v>1975</v>
      </c>
      <c r="B1405" s="19">
        <f>--(Raw_Data!B1405="Yes")</f>
        <v>0</v>
      </c>
    </row>
    <row r="1406" spans="1:2">
      <c r="A1406" s="19">
        <f>Raw_Data!J1406</f>
        <v>1976</v>
      </c>
      <c r="B1406" s="19">
        <f>--(Raw_Data!B1406="Yes")</f>
        <v>0</v>
      </c>
    </row>
    <row r="1407" spans="1:2">
      <c r="A1407" s="19">
        <f>Raw_Data!J1407</f>
        <v>1979</v>
      </c>
      <c r="B1407" s="19">
        <f>--(Raw_Data!B1407="Yes")</f>
        <v>0</v>
      </c>
    </row>
    <row r="1408" spans="1:2">
      <c r="A1408" s="19">
        <f>Raw_Data!J1408</f>
        <v>1980</v>
      </c>
      <c r="B1408" s="19">
        <f>--(Raw_Data!B1408="Yes")</f>
        <v>0</v>
      </c>
    </row>
    <row r="1409" spans="1:2">
      <c r="A1409" s="19">
        <f>Raw_Data!J1409</f>
        <v>1981</v>
      </c>
      <c r="B1409" s="19">
        <f>--(Raw_Data!B1409="Yes")</f>
        <v>0</v>
      </c>
    </row>
    <row r="1410" spans="1:2">
      <c r="A1410" s="19">
        <f>Raw_Data!J1410</f>
        <v>1982</v>
      </c>
      <c r="B1410" s="19">
        <f>--(Raw_Data!B1410="Yes")</f>
        <v>0</v>
      </c>
    </row>
    <row r="1411" spans="1:2">
      <c r="A1411" s="19">
        <f>Raw_Data!J1411</f>
        <v>1985</v>
      </c>
      <c r="B1411" s="19">
        <f>--(Raw_Data!B1411="Yes")</f>
        <v>0</v>
      </c>
    </row>
    <row r="1412" spans="1:2">
      <c r="A1412" s="19">
        <f>Raw_Data!J1412</f>
        <v>1986</v>
      </c>
      <c r="B1412" s="19">
        <f>--(Raw_Data!B1412="Yes")</f>
        <v>0</v>
      </c>
    </row>
    <row r="1413" spans="1:2">
      <c r="A1413" s="19">
        <f>Raw_Data!J1413</f>
        <v>1987</v>
      </c>
      <c r="B1413" s="19">
        <f>--(Raw_Data!B1413="Yes")</f>
        <v>0</v>
      </c>
    </row>
    <row r="1414" spans="1:2">
      <c r="A1414" s="19">
        <f>Raw_Data!J1414</f>
        <v>1989</v>
      </c>
      <c r="B1414" s="19">
        <f>--(Raw_Data!B1414="Yes")</f>
        <v>0</v>
      </c>
    </row>
    <row r="1415" spans="1:2">
      <c r="A1415" s="19">
        <f>Raw_Data!J1415</f>
        <v>1992</v>
      </c>
      <c r="B1415" s="19">
        <f>--(Raw_Data!B1415="Yes")</f>
        <v>0</v>
      </c>
    </row>
    <row r="1416" spans="1:2">
      <c r="A1416" s="19">
        <f>Raw_Data!J1416</f>
        <v>1993</v>
      </c>
      <c r="B1416" s="19">
        <f>--(Raw_Data!B1416="Yes")</f>
        <v>0</v>
      </c>
    </row>
    <row r="1417" spans="1:2">
      <c r="A1417" s="19">
        <f>Raw_Data!J1417</f>
        <v>1994</v>
      </c>
      <c r="B1417" s="19">
        <f>--(Raw_Data!B1417="Yes")</f>
        <v>0</v>
      </c>
    </row>
    <row r="1418" spans="1:2">
      <c r="A1418" s="19">
        <f>Raw_Data!J1418</f>
        <v>1995</v>
      </c>
      <c r="B1418" s="19">
        <f>--(Raw_Data!B1418="Yes")</f>
        <v>0</v>
      </c>
    </row>
    <row r="1419" spans="1:2">
      <c r="A1419" s="19">
        <f>Raw_Data!J1419</f>
        <v>1996</v>
      </c>
      <c r="B1419" s="19">
        <f>--(Raw_Data!B1419="Yes")</f>
        <v>0</v>
      </c>
    </row>
    <row r="1420" spans="1:2">
      <c r="A1420" s="19">
        <f>Raw_Data!J1420</f>
        <v>1997</v>
      </c>
      <c r="B1420" s="19">
        <f>--(Raw_Data!B1420="Yes")</f>
        <v>0</v>
      </c>
    </row>
    <row r="1421" spans="1:2">
      <c r="A1421" s="19">
        <f>Raw_Data!J1421</f>
        <v>1998</v>
      </c>
      <c r="B1421" s="19">
        <f>--(Raw_Data!B1421="Yes")</f>
        <v>0</v>
      </c>
    </row>
    <row r="1422" spans="1:2">
      <c r="A1422" s="19">
        <f>Raw_Data!J1422</f>
        <v>1999</v>
      </c>
      <c r="B1422" s="19">
        <f>--(Raw_Data!B1422="Yes")</f>
        <v>0</v>
      </c>
    </row>
    <row r="1423" spans="1:2">
      <c r="A1423" s="19">
        <f>Raw_Data!J1423</f>
        <v>2000</v>
      </c>
      <c r="B1423" s="19">
        <f>--(Raw_Data!B1423="Yes")</f>
        <v>0</v>
      </c>
    </row>
    <row r="1424" spans="1:2">
      <c r="A1424" s="19">
        <f>Raw_Data!J1424</f>
        <v>2003</v>
      </c>
      <c r="B1424" s="19">
        <f>--(Raw_Data!B1424="Yes")</f>
        <v>0</v>
      </c>
    </row>
    <row r="1425" spans="1:2">
      <c r="A1425" s="19">
        <f>Raw_Data!J1425</f>
        <v>2007</v>
      </c>
      <c r="B1425" s="19">
        <f>--(Raw_Data!B1425="Yes")</f>
        <v>0</v>
      </c>
    </row>
    <row r="1426" spans="1:2">
      <c r="A1426" s="19">
        <f>Raw_Data!J1426</f>
        <v>2008</v>
      </c>
      <c r="B1426" s="19">
        <f>--(Raw_Data!B1426="Yes")</f>
        <v>0</v>
      </c>
    </row>
    <row r="1427" spans="1:2">
      <c r="A1427" s="19">
        <f>Raw_Data!J1427</f>
        <v>2009</v>
      </c>
      <c r="B1427" s="19">
        <f>--(Raw_Data!B1427="Yes")</f>
        <v>0</v>
      </c>
    </row>
    <row r="1428" spans="1:2">
      <c r="A1428" s="19">
        <f>Raw_Data!J1428</f>
        <v>2010</v>
      </c>
      <c r="B1428" s="19">
        <f>--(Raw_Data!B1428="Yes")</f>
        <v>0</v>
      </c>
    </row>
    <row r="1429" spans="1:2">
      <c r="A1429" s="19">
        <f>Raw_Data!J1429</f>
        <v>2012</v>
      </c>
      <c r="B1429" s="19">
        <f>--(Raw_Data!B1429="Yes")</f>
        <v>0</v>
      </c>
    </row>
    <row r="1430" spans="1:2">
      <c r="A1430" s="19">
        <f>Raw_Data!J1430</f>
        <v>2013</v>
      </c>
      <c r="B1430" s="19">
        <f>--(Raw_Data!B1430="Yes")</f>
        <v>0</v>
      </c>
    </row>
    <row r="1431" spans="1:2">
      <c r="A1431" s="19">
        <f>Raw_Data!J1431</f>
        <v>2014</v>
      </c>
      <c r="B1431" s="19">
        <f>--(Raw_Data!B1431="Yes")</f>
        <v>0</v>
      </c>
    </row>
    <row r="1432" spans="1:2">
      <c r="A1432" s="19">
        <f>Raw_Data!J1432</f>
        <v>2015</v>
      </c>
      <c r="B1432" s="19">
        <f>--(Raw_Data!B1432="Yes")</f>
        <v>0</v>
      </c>
    </row>
    <row r="1433" spans="1:2">
      <c r="A1433" s="19">
        <f>Raw_Data!J1433</f>
        <v>2016</v>
      </c>
      <c r="B1433" s="19">
        <f>--(Raw_Data!B1433="Yes")</f>
        <v>0</v>
      </c>
    </row>
    <row r="1434" spans="1:2">
      <c r="A1434" s="19">
        <f>Raw_Data!J1434</f>
        <v>2017</v>
      </c>
      <c r="B1434" s="19">
        <f>--(Raw_Data!B1434="Yes")</f>
        <v>0</v>
      </c>
    </row>
    <row r="1435" spans="1:2">
      <c r="A1435" s="19">
        <f>Raw_Data!J1435</f>
        <v>2018</v>
      </c>
      <c r="B1435" s="19">
        <f>--(Raw_Data!B1435="Yes")</f>
        <v>0</v>
      </c>
    </row>
    <row r="1436" spans="1:2">
      <c r="A1436" s="19">
        <f>Raw_Data!J1436</f>
        <v>2019</v>
      </c>
      <c r="B1436" s="19">
        <f>--(Raw_Data!B1436="Yes")</f>
        <v>0</v>
      </c>
    </row>
    <row r="1437" spans="1:2">
      <c r="A1437" s="19">
        <f>Raw_Data!J1437</f>
        <v>2020</v>
      </c>
      <c r="B1437" s="19">
        <f>--(Raw_Data!B1437="Yes")</f>
        <v>0</v>
      </c>
    </row>
    <row r="1438" spans="1:2">
      <c r="A1438" s="19">
        <f>Raw_Data!J1438</f>
        <v>2021</v>
      </c>
      <c r="B1438" s="19">
        <f>--(Raw_Data!B1438="Yes")</f>
        <v>0</v>
      </c>
    </row>
    <row r="1439" spans="1:2">
      <c r="A1439" s="19">
        <f>Raw_Data!J1439</f>
        <v>2022</v>
      </c>
      <c r="B1439" s="19">
        <f>--(Raw_Data!B1439="Yes")</f>
        <v>0</v>
      </c>
    </row>
    <row r="1440" spans="1:2">
      <c r="A1440" s="19">
        <f>Raw_Data!J1440</f>
        <v>2023</v>
      </c>
      <c r="B1440" s="19">
        <f>--(Raw_Data!B1440="Yes")</f>
        <v>1</v>
      </c>
    </row>
    <row r="1441" spans="1:2">
      <c r="A1441" s="19">
        <f>Raw_Data!J1441</f>
        <v>2024</v>
      </c>
      <c r="B1441" s="19">
        <f>--(Raw_Data!B1441="Yes")</f>
        <v>0</v>
      </c>
    </row>
    <row r="1442" spans="1:2">
      <c r="A1442" s="19">
        <f>Raw_Data!J1442</f>
        <v>2025</v>
      </c>
      <c r="B1442" s="19">
        <f>--(Raw_Data!B1442="Yes")</f>
        <v>0</v>
      </c>
    </row>
    <row r="1443" spans="1:2">
      <c r="A1443" s="19">
        <f>Raw_Data!J1443</f>
        <v>2026</v>
      </c>
      <c r="B1443" s="19">
        <f>--(Raw_Data!B1443="Yes")</f>
        <v>0</v>
      </c>
    </row>
    <row r="1444" spans="1:2">
      <c r="A1444" s="19">
        <f>Raw_Data!J1444</f>
        <v>2027</v>
      </c>
      <c r="B1444" s="19">
        <f>--(Raw_Data!B1444="Yes")</f>
        <v>1</v>
      </c>
    </row>
    <row r="1445" spans="1:2">
      <c r="A1445" s="19">
        <f>Raw_Data!J1445</f>
        <v>2031</v>
      </c>
      <c r="B1445" s="19">
        <f>--(Raw_Data!B1445="Yes")</f>
        <v>0</v>
      </c>
    </row>
    <row r="1446" spans="1:2">
      <c r="A1446" s="19">
        <f>Raw_Data!J1446</f>
        <v>2032</v>
      </c>
      <c r="B1446" s="19">
        <f>--(Raw_Data!B1446="Yes")</f>
        <v>1</v>
      </c>
    </row>
    <row r="1447" spans="1:2">
      <c r="A1447" s="19">
        <f>Raw_Data!J1447</f>
        <v>2034</v>
      </c>
      <c r="B1447" s="19">
        <f>--(Raw_Data!B1447="Yes")</f>
        <v>0</v>
      </c>
    </row>
    <row r="1448" spans="1:2">
      <c r="A1448" s="19">
        <f>Raw_Data!J1448</f>
        <v>2035</v>
      </c>
      <c r="B1448" s="19">
        <f>--(Raw_Data!B1448="Yes")</f>
        <v>0</v>
      </c>
    </row>
    <row r="1449" spans="1:2">
      <c r="A1449" s="19">
        <f>Raw_Data!J1449</f>
        <v>2036</v>
      </c>
      <c r="B1449" s="19">
        <f>--(Raw_Data!B1449="Yes")</f>
        <v>0</v>
      </c>
    </row>
    <row r="1450" spans="1:2">
      <c r="A1450" s="19">
        <f>Raw_Data!J1450</f>
        <v>2037</v>
      </c>
      <c r="B1450" s="19">
        <f>--(Raw_Data!B1450="Yes")</f>
        <v>0</v>
      </c>
    </row>
    <row r="1451" spans="1:2">
      <c r="A1451" s="19">
        <f>Raw_Data!J1451</f>
        <v>2038</v>
      </c>
      <c r="B1451" s="19">
        <f>--(Raw_Data!B1451="Yes")</f>
        <v>0</v>
      </c>
    </row>
    <row r="1452" spans="1:2">
      <c r="A1452" s="19">
        <f>Raw_Data!J1452</f>
        <v>2040</v>
      </c>
      <c r="B1452" s="19">
        <f>--(Raw_Data!B1452="Yes")</f>
        <v>0</v>
      </c>
    </row>
    <row r="1453" spans="1:2">
      <c r="A1453" s="19">
        <f>Raw_Data!J1453</f>
        <v>2041</v>
      </c>
      <c r="B1453" s="19">
        <f>--(Raw_Data!B1453="Yes")</f>
        <v>0</v>
      </c>
    </row>
    <row r="1454" spans="1:2">
      <c r="A1454" s="19">
        <f>Raw_Data!J1454</f>
        <v>2044</v>
      </c>
      <c r="B1454" s="19">
        <f>--(Raw_Data!B1454="Yes")</f>
        <v>1</v>
      </c>
    </row>
    <row r="1455" spans="1:2">
      <c r="A1455" s="19">
        <f>Raw_Data!J1455</f>
        <v>2045</v>
      </c>
      <c r="B1455" s="19">
        <f>--(Raw_Data!B1455="Yes")</f>
        <v>0</v>
      </c>
    </row>
    <row r="1456" spans="1:2">
      <c r="A1456" s="19">
        <f>Raw_Data!J1456</f>
        <v>2046</v>
      </c>
      <c r="B1456" s="19">
        <f>--(Raw_Data!B1456="Yes")</f>
        <v>0</v>
      </c>
    </row>
    <row r="1457" spans="1:2">
      <c r="A1457" s="19">
        <f>Raw_Data!J1457</f>
        <v>2048</v>
      </c>
      <c r="B1457" s="19">
        <f>--(Raw_Data!B1457="Yes")</f>
        <v>0</v>
      </c>
    </row>
    <row r="1458" spans="1:2">
      <c r="A1458" s="19">
        <f>Raw_Data!J1458</f>
        <v>2049</v>
      </c>
      <c r="B1458" s="19">
        <f>--(Raw_Data!B1458="Yes")</f>
        <v>0</v>
      </c>
    </row>
    <row r="1459" spans="1:2">
      <c r="A1459" s="19">
        <f>Raw_Data!J1459</f>
        <v>2051</v>
      </c>
      <c r="B1459" s="19">
        <f>--(Raw_Data!B1459="Yes")</f>
        <v>0</v>
      </c>
    </row>
    <row r="1460" spans="1:2">
      <c r="A1460" s="19">
        <f>Raw_Data!J1460</f>
        <v>2052</v>
      </c>
      <c r="B1460" s="19">
        <f>--(Raw_Data!B1460="Yes")</f>
        <v>0</v>
      </c>
    </row>
    <row r="1461" spans="1:2">
      <c r="A1461" s="19">
        <f>Raw_Data!J1461</f>
        <v>2053</v>
      </c>
      <c r="B1461" s="19">
        <f>--(Raw_Data!B1461="Yes")</f>
        <v>0</v>
      </c>
    </row>
    <row r="1462" spans="1:2">
      <c r="A1462" s="19">
        <f>Raw_Data!J1462</f>
        <v>2054</v>
      </c>
      <c r="B1462" s="19">
        <f>--(Raw_Data!B1462="Yes")</f>
        <v>0</v>
      </c>
    </row>
    <row r="1463" spans="1:2">
      <c r="A1463" s="19">
        <f>Raw_Data!J1463</f>
        <v>2055</v>
      </c>
      <c r="B1463" s="19">
        <f>--(Raw_Data!B1463="Yes")</f>
        <v>1</v>
      </c>
    </row>
    <row r="1464" spans="1:2">
      <c r="A1464" s="19">
        <f>Raw_Data!J1464</f>
        <v>2056</v>
      </c>
      <c r="B1464" s="19">
        <f>--(Raw_Data!B1464="Yes")</f>
        <v>0</v>
      </c>
    </row>
    <row r="1465" spans="1:2">
      <c r="A1465" s="19">
        <f>Raw_Data!J1465</f>
        <v>2057</v>
      </c>
      <c r="B1465" s="19">
        <f>--(Raw_Data!B1465="Yes")</f>
        <v>0</v>
      </c>
    </row>
    <row r="1466" spans="1:2">
      <c r="A1466" s="19">
        <f>Raw_Data!J1466</f>
        <v>2060</v>
      </c>
      <c r="B1466" s="19">
        <f>--(Raw_Data!B1466="Yes")</f>
        <v>0</v>
      </c>
    </row>
    <row r="1467" spans="1:2">
      <c r="A1467" s="19">
        <f>Raw_Data!J1467</f>
        <v>2061</v>
      </c>
      <c r="B1467" s="19">
        <f>--(Raw_Data!B1467="Yes")</f>
        <v>0</v>
      </c>
    </row>
    <row r="1468" spans="1:2">
      <c r="A1468" s="19">
        <f>Raw_Data!J1468</f>
        <v>2062</v>
      </c>
      <c r="B1468" s="19">
        <f>--(Raw_Data!B1468="Yes")</f>
        <v>0</v>
      </c>
    </row>
    <row r="1469" spans="1:2">
      <c r="A1469" s="19">
        <f>Raw_Data!J1469</f>
        <v>2064</v>
      </c>
      <c r="B1469" s="19">
        <f>--(Raw_Data!B1469="Yes")</f>
        <v>0</v>
      </c>
    </row>
    <row r="1470" spans="1:2">
      <c r="A1470" s="19">
        <f>Raw_Data!J1470</f>
        <v>2065</v>
      </c>
      <c r="B1470" s="19">
        <f>--(Raw_Data!B1470="Yes")</f>
        <v>0</v>
      </c>
    </row>
    <row r="1471" spans="1:2">
      <c r="A1471" s="19">
        <f>Raw_Data!J1471</f>
        <v>2068</v>
      </c>
      <c r="B1471" s="19">
        <f>--(Raw_Data!B1471="Yes")</f>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74547-4D91-4596-895E-9ED219E4D2C1}">
  <dimension ref="A1:F6"/>
  <sheetViews>
    <sheetView workbookViewId="0">
      <selection activeCell="E3" sqref="E3"/>
    </sheetView>
  </sheetViews>
  <sheetFormatPr defaultRowHeight="13.8"/>
  <cols>
    <col min="1" max="1" width="16.5" bestFit="1" customWidth="1"/>
    <col min="2" max="2" width="15.59765625" bestFit="1" customWidth="1"/>
    <col min="3" max="3" width="23" bestFit="1" customWidth="1"/>
    <col min="4" max="4" width="25.296875" bestFit="1" customWidth="1"/>
    <col min="5" max="5" width="29.19921875" bestFit="1" customWidth="1"/>
  </cols>
  <sheetData>
    <row r="1" spans="1:6">
      <c r="A1" s="8" t="s">
        <v>136</v>
      </c>
      <c r="B1" t="s">
        <v>192</v>
      </c>
      <c r="C1" t="s">
        <v>137</v>
      </c>
      <c r="D1" t="s">
        <v>200</v>
      </c>
      <c r="E1" t="s">
        <v>193</v>
      </c>
      <c r="F1" t="s">
        <v>194</v>
      </c>
    </row>
    <row r="2" spans="1:6">
      <c r="A2" s="9" t="s">
        <v>43</v>
      </c>
      <c r="B2" s="23">
        <v>1233</v>
      </c>
      <c r="C2" s="11">
        <v>2.778588807785888</v>
      </c>
      <c r="D2" s="11">
        <v>7.3690186536901869</v>
      </c>
      <c r="E2" t="s">
        <v>195</v>
      </c>
      <c r="F2" s="22">
        <f>B4</f>
        <v>1470</v>
      </c>
    </row>
    <row r="3" spans="1:6">
      <c r="A3" s="9" t="s">
        <v>35</v>
      </c>
      <c r="B3" s="23">
        <v>237</v>
      </c>
      <c r="C3" s="11">
        <v>2.4683544303797467</v>
      </c>
      <c r="D3" s="11">
        <v>5.1308016877637135</v>
      </c>
      <c r="E3" t="s">
        <v>196</v>
      </c>
      <c r="F3">
        <f>B3</f>
        <v>237</v>
      </c>
    </row>
    <row r="4" spans="1:6">
      <c r="A4" s="9" t="s">
        <v>134</v>
      </c>
      <c r="B4" s="23">
        <v>1470</v>
      </c>
      <c r="C4" s="11">
        <v>2.7285714285714286</v>
      </c>
      <c r="D4" s="11">
        <v>7.0081632653061225</v>
      </c>
      <c r="E4" t="s">
        <v>197</v>
      </c>
      <c r="F4" s="21">
        <f>$F$3/$F$2</f>
        <v>0.16122448979591836</v>
      </c>
    </row>
    <row r="5" spans="1:6">
      <c r="E5" t="s">
        <v>198</v>
      </c>
      <c r="F5" s="11">
        <f>C3</f>
        <v>2.4683544303797467</v>
      </c>
    </row>
    <row r="6" spans="1:6">
      <c r="E6" t="s">
        <v>199</v>
      </c>
      <c r="F6" s="11">
        <f>D3</f>
        <v>5.1308016877637135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Raw_Data</vt:lpstr>
      <vt:lpstr>Read_Me</vt:lpstr>
      <vt:lpstr>Data_QA</vt:lpstr>
      <vt:lpstr>PVT_Attrition</vt:lpstr>
      <vt:lpstr>PVT_Workforce</vt:lpstr>
      <vt:lpstr>PVT_Engagement</vt:lpstr>
      <vt:lpstr>PVT_Performance</vt:lpstr>
      <vt:lpstr>Association_Analysis</vt:lpstr>
      <vt:lpstr>PVT_KPI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Md Ziaul Haque</cp:lastModifiedBy>
  <dcterms:modified xsi:type="dcterms:W3CDTF">2026-10-24T13:20:51Z</dcterms:modified>
</cp:coreProperties>
</file>